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Git\Python_LapSim\"/>
    </mc:Choice>
  </mc:AlternateContent>
  <xr:revisionPtr revIDLastSave="0" documentId="8_{5FFD00E4-1E5B-421C-BB9D-5EF74CD51999}" xr6:coauthVersionLast="41" xr6:coauthVersionMax="41" xr10:uidLastSave="{00000000-0000-0000-0000-000000000000}"/>
  <bookViews>
    <workbookView xWindow="28680" yWindow="-120" windowWidth="29040" windowHeight="15840" activeTab="1" xr2:uid="{00000000-000D-0000-FFFF-FFFF00000000}"/>
  </bookViews>
  <sheets>
    <sheet name="BuildSheet_mechanics" sheetId="6" r:id="rId1"/>
    <sheet name="SetupSheet_mechanics" sheetId="1" r:id="rId2"/>
    <sheet name="SetupOverview" sheetId="3" r:id="rId3"/>
    <sheet name="Export-Def-k" sheetId="4" r:id="rId4"/>
    <sheet name="Options" sheetId="2" r:id="rId5"/>
    <sheet name=" mb% calc" sheetId="5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\c" localSheetId="0">#REF!</definedName>
    <definedName name="\c">#REF!</definedName>
    <definedName name="\h" localSheetId="0">#REF!</definedName>
    <definedName name="\h">#REF!</definedName>
    <definedName name="\p" localSheetId="0">#REF!</definedName>
    <definedName name="\p">#REF!</definedName>
    <definedName name="\q" localSheetId="0">#REF!</definedName>
    <definedName name="\q">#REF!</definedName>
    <definedName name="\s" localSheetId="0">#REF!</definedName>
    <definedName name="\s">#REF!</definedName>
    <definedName name="_____a32222" localSheetId="0">#REF!</definedName>
    <definedName name="_____a32222">#REF!</definedName>
    <definedName name="_____ww1" localSheetId="0">#REF!</definedName>
    <definedName name="_____ww1">#REF!</definedName>
    <definedName name="___a32222" localSheetId="0">#REF!</definedName>
    <definedName name="___a32222">#REF!</definedName>
    <definedName name="___ww1" localSheetId="0">#REF!</definedName>
    <definedName name="___ww1">#REF!</definedName>
    <definedName name="__0Print_Area" localSheetId="0">#REF!</definedName>
    <definedName name="__0Print_Area">#REF!</definedName>
    <definedName name="_1ログインモジュール_.ログイン_Cancel_btn" localSheetId="0">[1]!'[ログインモジュール].ログイン_Cancel_btn'</definedName>
    <definedName name="_1ログインモジュール_.ログイン_Cancel_btn">[1]!'[ログインモジュール].ログイン_Cancel_btn'</definedName>
    <definedName name="_2ログインモジュール_.ログイン_Ok_btn" localSheetId="0">[1]!'[ログインモジュール].ログイン_Ok_btn'</definedName>
    <definedName name="_2ログインモジュール_.ログイン_Ok_btn">[1]!'[ログインモジュール].ログイン_Ok_btn'</definedName>
    <definedName name="_3_1_0Print_Area" localSheetId="0">#REF!</definedName>
    <definedName name="_3_1_0Print_Area">#REF!</definedName>
    <definedName name="_a32222" localSheetId="0">#REF!</definedName>
    <definedName name="_a32222">#REF!</definedName>
    <definedName name="_c" localSheetId="0">#REF!</definedName>
    <definedName name="_c">#REF!</definedName>
    <definedName name="_h" localSheetId="0">#REF!</definedName>
    <definedName name="_h">#REF!</definedName>
    <definedName name="_Order1" hidden="1">255</definedName>
    <definedName name="_Order2" hidden="1">255</definedName>
    <definedName name="_p" localSheetId="0">#REF!</definedName>
    <definedName name="_p">#REF!</definedName>
    <definedName name="_q" localSheetId="0">#REF!</definedName>
    <definedName name="_q">#REF!</definedName>
    <definedName name="_s" localSheetId="0">#REF!</definedName>
    <definedName name="_s">#REF!</definedName>
    <definedName name="_ww1" localSheetId="0">#REF!</definedName>
    <definedName name="_ww1">#REF!</definedName>
    <definedName name="_ログインモジュール_.ログイン_Cancel_btn">_ログインモジュール_.ログイン_Cancel_btn</definedName>
    <definedName name="_ログインモジュール_.ログイン_Ok_btn">_ログインモジュール_.ログイン_Ok_btn</definedName>
    <definedName name="A">[0]!A</definedName>
    <definedName name="A_10">A_10</definedName>
    <definedName name="A_2">A_2</definedName>
    <definedName name="A_3">A_3</definedName>
    <definedName name="A_4">A_4</definedName>
    <definedName name="A_5">A_5</definedName>
    <definedName name="A_6">A_6</definedName>
    <definedName name="A_7">A_7</definedName>
    <definedName name="A_8">A_8</definedName>
    <definedName name="A_9">A_9</definedName>
    <definedName name="a32222_8" localSheetId="0">#REF!</definedName>
    <definedName name="a32222_8">#REF!</definedName>
    <definedName name="acc_lat_max">[2]GLOBALS!$C$23</definedName>
    <definedName name="Address" localSheetId="0">#REF!</definedName>
    <definedName name="Address">#REF!</definedName>
    <definedName name="Address_8" localSheetId="0">#REF!</definedName>
    <definedName name="Address_8">#REF!</definedName>
    <definedName name="Address_9" localSheetId="0">#REF!</definedName>
    <definedName name="Address_9">#REF!</definedName>
    <definedName name="adrfactorFAp1" localSheetId="0">#REF!</definedName>
    <definedName name="adrfactorFAp1">#REF!</definedName>
    <definedName name="adrfactorFAp1_8" localSheetId="0">#REF!</definedName>
    <definedName name="adrfactorFAp1_8">#REF!</definedName>
    <definedName name="adrfactorFAp1_9" localSheetId="0">#REF!</definedName>
    <definedName name="adrfactorFAp1_9">#REF!</definedName>
    <definedName name="adrfactorRAp1" localSheetId="0">#REF!</definedName>
    <definedName name="adrfactorRAp1">#REF!</definedName>
    <definedName name="adrfactorRAp1_8" localSheetId="0">#REF!</definedName>
    <definedName name="adrfactorRAp1_8">#REF!</definedName>
    <definedName name="adrfactorRAp1_9" localSheetId="0">#REF!</definedName>
    <definedName name="adrfactorRAp1_9">#REF!</definedName>
    <definedName name="adrXp1" localSheetId="0">#REF!</definedName>
    <definedName name="adrXp1">#REF!</definedName>
    <definedName name="adrXp1_8" localSheetId="0">#REF!</definedName>
    <definedName name="adrXp1_8">#REF!</definedName>
    <definedName name="adrXp1_9" localSheetId="0">#REF!</definedName>
    <definedName name="adrXp1_9">#REF!</definedName>
    <definedName name="ARB_FA">[2]ARB!$B$2:$M$17</definedName>
    <definedName name="ARB_RA">[2]ARB!$B$20:$I$36</definedName>
    <definedName name="benzing_v2" localSheetId="0">#REF!</definedName>
    <definedName name="benzing_v2">#REF!</definedName>
    <definedName name="benzing_v2_8" localSheetId="0">#REF!</definedName>
    <definedName name="benzing_v2_8">#REF!</definedName>
    <definedName name="benzing_v2_9" localSheetId="0">#REF!</definedName>
    <definedName name="benzing_v2_9">#REF!</definedName>
    <definedName name="bias">Options!$AM$4:$AM$10</definedName>
    <definedName name="biplane_2pl_sm" localSheetId="0">#REF!</definedName>
    <definedName name="biplane_2pl_sm">#REF!</definedName>
    <definedName name="biplane_2pl_sm_8" localSheetId="0">#REF!</definedName>
    <definedName name="biplane_2pl_sm_8">#REF!</definedName>
    <definedName name="biplane_2pl_sm_9" localSheetId="0">#REF!</definedName>
    <definedName name="biplane_2pl_sm_9">#REF!</definedName>
    <definedName name="bitmap" localSheetId="0">#REF!</definedName>
    <definedName name="bitmap">#REF!</definedName>
    <definedName name="bitmap_8" localSheetId="0">#REF!</definedName>
    <definedName name="bitmap_8">#REF!</definedName>
    <definedName name="bitmap_9" localSheetId="0">#REF!</definedName>
    <definedName name="bitmap_9">#REF!</definedName>
    <definedName name="boatfactorFAp1" localSheetId="0">#REF!</definedName>
    <definedName name="boatfactorFAp1">#REF!</definedName>
    <definedName name="boatfactorFAp1_8" localSheetId="0">#REF!</definedName>
    <definedName name="boatfactorFAp1_8">#REF!</definedName>
    <definedName name="boatfactorFAp1_9" localSheetId="0">#REF!</definedName>
    <definedName name="boatfactorFAp1_9">#REF!</definedName>
    <definedName name="boatfactorRAp1" localSheetId="0">#REF!</definedName>
    <definedName name="boatfactorRAp1">#REF!</definedName>
    <definedName name="boatfactorRAp1_8" localSheetId="0">#REF!</definedName>
    <definedName name="boatfactorRAp1_8">#REF!</definedName>
    <definedName name="boatfactorRAp1_9" localSheetId="0">#REF!</definedName>
    <definedName name="boatfactorRAp1_9">#REF!</definedName>
    <definedName name="boatXp1" localSheetId="0">#REF!</definedName>
    <definedName name="boatXp1">#REF!</definedName>
    <definedName name="boatXp1_8" localSheetId="0">#REF!</definedName>
    <definedName name="boatXp1_8">#REF!</definedName>
    <definedName name="boatXp1_9" localSheetId="0">#REF!</definedName>
    <definedName name="boatXp1_9">#REF!</definedName>
    <definedName name="bumpflap" localSheetId="0">#REF!</definedName>
    <definedName name="bumpflap">#REF!</definedName>
    <definedName name="bumpflap_8" localSheetId="0">#REF!</definedName>
    <definedName name="bumpflap_8">#REF!</definedName>
    <definedName name="bumpflap_9" localSheetId="0">#REF!</definedName>
    <definedName name="bumpflap_9">#REF!</definedName>
    <definedName name="Button1_Click" localSheetId="0">[3]!Button1_Click</definedName>
    <definedName name="Button1_Click">[3]!Button1_Click</definedName>
    <definedName name="Button2_Click" localSheetId="0">[4]!Button1_Click</definedName>
    <definedName name="Button2_Click">[4]!Button1_Click</definedName>
    <definedName name="cc" localSheetId="0">[1]!'[ログインモジュール].ログイン_Cancel_btn'</definedName>
    <definedName name="cc">[1]!'[ログインモジュール].ログイン_Cancel_btn'</definedName>
    <definedName name="cgh_60_80">[2]GLOBALS!$G$7</definedName>
    <definedName name="cgh_usm_FA">[2]GLOBALS!$K$11</definedName>
    <definedName name="cgh_usm_RA">[2]GLOBALS!$K$12</definedName>
    <definedName name="Circuitnam" localSheetId="0">#REF!</definedName>
    <definedName name="Circuitnam">#REF!</definedName>
    <definedName name="Circuitnam_6">[5]Data!$B$4:$B$45</definedName>
    <definedName name="Circuitnam_7">[5]Data!$B$4:$B$45</definedName>
    <definedName name="City" localSheetId="0">#REF!</definedName>
    <definedName name="City">#REF!</definedName>
    <definedName name="City_8" localSheetId="0">#REF!</definedName>
    <definedName name="City_8">#REF!</definedName>
    <definedName name="City_9" localSheetId="0">#REF!</definedName>
    <definedName name="City_9">#REF!</definedName>
    <definedName name="Code" localSheetId="0" hidden="1">#REF!</definedName>
    <definedName name="Code" hidden="1">#REF!</definedName>
    <definedName name="Company" localSheetId="0">#REF!</definedName>
    <definedName name="Company">#REF!</definedName>
    <definedName name="Company_8" localSheetId="0">#REF!</definedName>
    <definedName name="Company_8">#REF!</definedName>
    <definedName name="Company_9" localSheetId="0">#REF!</definedName>
    <definedName name="Company_9">#REF!</definedName>
    <definedName name="Country" localSheetId="0">#REF!</definedName>
    <definedName name="Country">#REF!</definedName>
    <definedName name="Country_8" localSheetId="0">#REF!</definedName>
    <definedName name="Country_8">#REF!</definedName>
    <definedName name="Country_9" localSheetId="0">#REF!</definedName>
    <definedName name="Country_9">#REF!</definedName>
    <definedName name="_xlnm.Criteria" localSheetId="0">#REF!</definedName>
    <definedName name="_xlnm.Criteria">#REF!</definedName>
    <definedName name="Criteria_MI" localSheetId="0">#REF!</definedName>
    <definedName name="Criteria_MI">#REF!</definedName>
    <definedName name="CX_DOWN_Click">[0]!CX_DOWN_Click</definedName>
    <definedName name="CX_DOWN_Click_10">CX_DOWN_Click_10</definedName>
    <definedName name="CX_DOWN_Click_2">CX_DOWN_Click_2</definedName>
    <definedName name="CX_DOWN_Click_3">CX_DOWN_Click_3</definedName>
    <definedName name="CX_DOWN_Click_4">CX_DOWN_Click_4</definedName>
    <definedName name="CX_DOWN_Click_5">CX_DOWN_Click_5</definedName>
    <definedName name="CX_DOWN_Click_6">CX_DOWN_Click_6</definedName>
    <definedName name="CX_DOWN_Click_7">CX_DOWN_Click_7</definedName>
    <definedName name="CX_DOWN_Click_8">CX_DOWN_Click_8</definedName>
    <definedName name="CX_DOWN_Click_9">CX_DOWN_Click_9</definedName>
    <definedName name="CX_UP_Click">[0]!CX_UP_Click</definedName>
    <definedName name="CX_UP_Click_10">CX_UP_Click_10</definedName>
    <definedName name="CX_UP_Click_2">CX_UP_Click_2</definedName>
    <definedName name="CX_UP_Click_3">CX_UP_Click_3</definedName>
    <definedName name="CX_UP_Click_4">CX_UP_Click_4</definedName>
    <definedName name="CX_UP_Click_5">CX_UP_Click_5</definedName>
    <definedName name="CX_UP_Click_6">CX_UP_Click_6</definedName>
    <definedName name="CX_UP_Click_7">CX_UP_Click_7</definedName>
    <definedName name="CX_UP_Click_8">CX_UP_Click_8</definedName>
    <definedName name="CX_UP_Click_9">CX_UP_Click_9</definedName>
    <definedName name="data">[6]Orginal2!$C$5:$D$9</definedName>
    <definedName name="data1" localSheetId="0" hidden="1">#REF!</definedName>
    <definedName name="data1" hidden="1">#REF!</definedName>
    <definedName name="data2" localSheetId="0" hidden="1">#REF!</definedName>
    <definedName name="data2" hidden="1">#REF!</definedName>
    <definedName name="data3" localSheetId="0" hidden="1">#REF!</definedName>
    <definedName name="data3" hidden="1">#REF!</definedName>
    <definedName name="Day_1_Title" localSheetId="0">'[7]RA DATA'!#REF!</definedName>
    <definedName name="Day_1_Title">'[7]RA DATA'!#REF!</definedName>
    <definedName name="Day1_Drvr" localSheetId="0">'[7]RA DATA'!#REF!</definedName>
    <definedName name="Day1_Drvr">'[7]RA DATA'!#REF!</definedName>
    <definedName name="Day1_Title" localSheetId="0">'[7]RA DATA'!#REF!</definedName>
    <definedName name="Day1_Title">'[7]RA DATA'!#REF!</definedName>
    <definedName name="Discount" localSheetId="0" hidden="1">#REF!</definedName>
    <definedName name="Discount" hidden="1">#REF!</definedName>
    <definedName name="display_area_2" localSheetId="0" hidden="1">#REF!</definedName>
    <definedName name="display_area_2" hidden="1">#REF!</definedName>
    <definedName name="driverfactorFAp1" localSheetId="0">#REF!</definedName>
    <definedName name="driverfactorFAp1">#REF!</definedName>
    <definedName name="driverfactorFAp1_8" localSheetId="0">#REF!</definedName>
    <definedName name="driverfactorFAp1_8">#REF!</definedName>
    <definedName name="driverfactorFAp1_9" localSheetId="0">#REF!</definedName>
    <definedName name="driverfactorFAp1_9">#REF!</definedName>
    <definedName name="driverfactorRAp1" localSheetId="0">#REF!</definedName>
    <definedName name="driverfactorRAp1">#REF!</definedName>
    <definedName name="driverfactorRAp1_8" localSheetId="0">#REF!</definedName>
    <definedName name="driverfactorRAp1_8">#REF!</definedName>
    <definedName name="driverfactorRAp1_9" localSheetId="0">#REF!</definedName>
    <definedName name="driverfactorRAp1_9">#REF!</definedName>
    <definedName name="driverXp1" localSheetId="0">#REF!</definedName>
    <definedName name="driverXp1">#REF!</definedName>
    <definedName name="driverXp1_8" localSheetId="0">#REF!</definedName>
    <definedName name="driverXp1_8">#REF!</definedName>
    <definedName name="driverXp1_9" localSheetId="0">#REF!</definedName>
    <definedName name="driverXp1_9">#REF!</definedName>
    <definedName name="DRY" localSheetId="0">#REF!</definedName>
    <definedName name="DRY">#REF!</definedName>
    <definedName name="DRYFRNT" localSheetId="0">#REF!</definedName>
    <definedName name="DRYFRNT">#REF!</definedName>
    <definedName name="DRYREAR" localSheetId="0">#REF!</definedName>
    <definedName name="DRYREAR">#REF!</definedName>
    <definedName name="DX_DOWN_Click">[0]!DX_DOWN_Click</definedName>
    <definedName name="DX_DOWN_Click_10">DX_DOWN_Click_10</definedName>
    <definedName name="DX_DOWN_Click_2">DX_DOWN_Click_2</definedName>
    <definedName name="DX_DOWN_Click_3">DX_DOWN_Click_3</definedName>
    <definedName name="DX_DOWN_Click_4">DX_DOWN_Click_4</definedName>
    <definedName name="DX_DOWN_Click_5">DX_DOWN_Click_5</definedName>
    <definedName name="DX_DOWN_Click_6">DX_DOWN_Click_6</definedName>
    <definedName name="DX_DOWN_Click_7">DX_DOWN_Click_7</definedName>
    <definedName name="DX_DOWN_Click_8">DX_DOWN_Click_8</definedName>
    <definedName name="DX_DOWN_Click_9">DX_DOWN_Click_9</definedName>
    <definedName name="DX_UP_Click">[0]!DX_UP_Click</definedName>
    <definedName name="DX_UP_Click_10">DX_UP_Click_10</definedName>
    <definedName name="DX_UP_Click_2">DX_UP_Click_2</definedName>
    <definedName name="DX_UP_Click_3">DX_UP_Click_3</definedName>
    <definedName name="DX_UP_Click_4">DX_UP_Click_4</definedName>
    <definedName name="DX_UP_Click_5">DX_UP_Click_5</definedName>
    <definedName name="DX_UP_Click_6">DX_UP_Click_6</definedName>
    <definedName name="DX_UP_Click_7">DX_UP_Click_7</definedName>
    <definedName name="DX_UP_Click_8">DX_UP_Click_8</definedName>
    <definedName name="DX_UP_Click_9">DX_UP_Click_9</definedName>
    <definedName name="Email" localSheetId="0">#REF!</definedName>
    <definedName name="Email">#REF!</definedName>
    <definedName name="Email_8" localSheetId="0">#REF!</definedName>
    <definedName name="Email_8">#REF!</definedName>
    <definedName name="Email_9" localSheetId="0">#REF!</definedName>
    <definedName name="Email_9">#REF!</definedName>
    <definedName name="Excel_BuiltIn_Criteria" localSheetId="0">#REF!</definedName>
    <definedName name="Excel_BuiltIn_Criteria">#REF!</definedName>
    <definedName name="Excel_BuiltIn_Extract" localSheetId="0">#REF!</definedName>
    <definedName name="Excel_BuiltIn_Extract">#REF!</definedName>
    <definedName name="_xlnm.Extract" localSheetId="0">#REF!</definedName>
    <definedName name="_xlnm.Extract">#REF!</definedName>
    <definedName name="Extract_MI" localSheetId="0">#REF!</definedName>
    <definedName name="Extract_MI">#REF!</definedName>
    <definedName name="F_a1" localSheetId="0">[8]Equation_rear!#REF!</definedName>
    <definedName name="F_a1">[8]Equation_rear!#REF!</definedName>
    <definedName name="F_a2" localSheetId="0">[8]Equation_rear!#REF!</definedName>
    <definedName name="F_a2">[8]Equation_rear!#REF!</definedName>
    <definedName name="F_a3" localSheetId="0">[8]Equation_rear!#REF!</definedName>
    <definedName name="F_a3">[8]Equation_rear!#REF!</definedName>
    <definedName name="F_b1" localSheetId="0">[8]Equation_rear!#REF!</definedName>
    <definedName name="F_b1">[8]Equation_rear!#REF!</definedName>
    <definedName name="F_b2" localSheetId="0">[8]Equation_rear!#REF!</definedName>
    <definedName name="F_b2">[8]Equation_rear!#REF!</definedName>
    <definedName name="F_c1" localSheetId="0">[8]Equation_rear!#REF!</definedName>
    <definedName name="F_c1">[8]Equation_rear!#REF!</definedName>
    <definedName name="F_f1" localSheetId="0">[8]Equation_rear!#REF!</definedName>
    <definedName name="F_f1">[8]Equation_rear!#REF!</definedName>
    <definedName name="F_p1" localSheetId="0">[8]Equation_rear!#REF!</definedName>
    <definedName name="F_p1">[8]Equation_rear!#REF!</definedName>
    <definedName name="F_R0" localSheetId="0">[8]Equation_rear!#REF!</definedName>
    <definedName name="F_R0">[8]Equation_rear!#REF!</definedName>
    <definedName name="FAmeasured" localSheetId="0">#REF!</definedName>
    <definedName name="FAmeasured">#REF!</definedName>
    <definedName name="FAmeasured_8" localSheetId="0">#REF!</definedName>
    <definedName name="FAmeasured_8">#REF!</definedName>
    <definedName name="FAmeasured_9" localSheetId="0">#REF!</definedName>
    <definedName name="FAmeasured_9">#REF!</definedName>
    <definedName name="FAnoballast" localSheetId="0">#REF!</definedName>
    <definedName name="FAnoballast">#REF!</definedName>
    <definedName name="FAnoballast_8" localSheetId="0">#REF!</definedName>
    <definedName name="FAnoballast_8">#REF!</definedName>
    <definedName name="FAnoballast_9" localSheetId="0">#REF!</definedName>
    <definedName name="FAnoballast_9">#REF!</definedName>
    <definedName name="Fax" localSheetId="0">#REF!</definedName>
    <definedName name="Fax">#REF!</definedName>
    <definedName name="Fax_8" localSheetId="0">#REF!</definedName>
    <definedName name="Fax_8">#REF!</definedName>
    <definedName name="Fax_9" localSheetId="0">#REF!</definedName>
    <definedName name="Fax_9">#REF!</definedName>
    <definedName name="FCode" localSheetId="0" hidden="1">#REF!</definedName>
    <definedName name="FCode" hidden="1">#REF!</definedName>
    <definedName name="FIRST" localSheetId="0">[9]Colloidal1!#REF!</definedName>
    <definedName name="FIRST">[9]Colloidal1!#REF!</definedName>
    <definedName name="FR">[10]FRONT!$A$3:$N$3424</definedName>
    <definedName name="FRONT" localSheetId="0">#REF!</definedName>
    <definedName name="FRONT">#REF!</definedName>
    <definedName name="frontaxleX" localSheetId="0">#REF!</definedName>
    <definedName name="frontaxleX">#REF!</definedName>
    <definedName name="frontaxleX_8" localSheetId="0">#REF!</definedName>
    <definedName name="frontaxleX_8">#REF!</definedName>
    <definedName name="frontaxleX_9" localSheetId="0">#REF!</definedName>
    <definedName name="frontaxleX_9">#REF!</definedName>
    <definedName name="FTB" localSheetId="0">#REF!</definedName>
    <definedName name="FTB">#REF!</definedName>
    <definedName name="FTB_10" localSheetId="0">#REF!</definedName>
    <definedName name="FTB_10">#REF!</definedName>
    <definedName name="FTB_2" localSheetId="0">#REF!</definedName>
    <definedName name="FTB_2">#REF!</definedName>
    <definedName name="FTB_3" localSheetId="0">#REF!</definedName>
    <definedName name="FTB_3">#REF!</definedName>
    <definedName name="FTB_4" localSheetId="0">#REF!</definedName>
    <definedName name="FTB_4">#REF!</definedName>
    <definedName name="FTB_5" localSheetId="0">#REF!</definedName>
    <definedName name="FTB_5">#REF!</definedName>
    <definedName name="FTB_6" localSheetId="0">#REF!</definedName>
    <definedName name="FTB_6">#REF!</definedName>
    <definedName name="FTB_7" localSheetId="0">#REF!</definedName>
    <definedName name="FTB_7">#REF!</definedName>
    <definedName name="FTB_8" localSheetId="0">#REF!</definedName>
    <definedName name="FTB_8">#REF!</definedName>
    <definedName name="FTB_9" localSheetId="0">#REF!</definedName>
    <definedName name="FTB_9">#REF!</definedName>
    <definedName name="fuelfactorFAp1" localSheetId="0">#REF!</definedName>
    <definedName name="fuelfactorFAp1">#REF!</definedName>
    <definedName name="fuelfactorFAp1_8" localSheetId="0">#REF!</definedName>
    <definedName name="fuelfactorFAp1_8">#REF!</definedName>
    <definedName name="fuelfactorFAp1_9" localSheetId="0">#REF!</definedName>
    <definedName name="fuelfactorFAp1_9">#REF!</definedName>
    <definedName name="fuelfactorRAp1" localSheetId="0">#REF!</definedName>
    <definedName name="fuelfactorRAp1">#REF!</definedName>
    <definedName name="fuelfactorRAp1_8" localSheetId="0">#REF!</definedName>
    <definedName name="fuelfactorRAp1_8">#REF!</definedName>
    <definedName name="fuelfactorRAp1_9" localSheetId="0">#REF!</definedName>
    <definedName name="fuelfactorRAp1_9">#REF!</definedName>
    <definedName name="fuelXP1" localSheetId="0">#REF!</definedName>
    <definedName name="fuelXP1">#REF!</definedName>
    <definedName name="fuelXP1_8" localSheetId="0">#REF!</definedName>
    <definedName name="fuelXP1_8">#REF!</definedName>
    <definedName name="fuelXP1_9" localSheetId="0">#REF!</definedName>
    <definedName name="fuelXP1_9">#REF!</definedName>
    <definedName name="g">[2]GLOBALS!$C$15</definedName>
    <definedName name="girofactorFAp1" localSheetId="0">#REF!</definedName>
    <definedName name="girofactorFAp1">#REF!</definedName>
    <definedName name="girofactorFAp1_8" localSheetId="0">#REF!</definedName>
    <definedName name="girofactorFAp1_8">#REF!</definedName>
    <definedName name="girofactorFAp1_9" localSheetId="0">#REF!</definedName>
    <definedName name="girofactorFAp1_9">#REF!</definedName>
    <definedName name="girofactorRAp1" localSheetId="0">#REF!</definedName>
    <definedName name="girofactorRAp1">#REF!</definedName>
    <definedName name="girofactorRAp1_8" localSheetId="0">#REF!</definedName>
    <definedName name="girofactorRAp1_8">#REF!</definedName>
    <definedName name="girofactorRAp1_9" localSheetId="0">#REF!</definedName>
    <definedName name="girofactorRAp1_9">#REF!</definedName>
    <definedName name="giroXp1" localSheetId="0">#REF!</definedName>
    <definedName name="giroXp1">#REF!</definedName>
    <definedName name="giroXp1_8" localSheetId="0">#REF!</definedName>
    <definedName name="giroXp1_8">#REF!</definedName>
    <definedName name="giroXp1_9" localSheetId="0">#REF!</definedName>
    <definedName name="giroXp1_9">#REF!</definedName>
    <definedName name="HiddenRows" localSheetId="0" hidden="1">#REF!</definedName>
    <definedName name="HiddenRows" hidden="1">#REF!</definedName>
    <definedName name="htllst">[11]HLST!$A$2:$E$19</definedName>
    <definedName name="InputTable">[12]Input!$A$1:$B$65536</definedName>
    <definedName name="KINEMATICS_FRONT_ALL">[2]KINEMATICS!$B$3:$J$32</definedName>
    <definedName name="KINEMATICS_REAR_ALL">[2]KINEMATICS!$B$53:$K$82</definedName>
    <definedName name="KX_DOWN_Click">[0]!KX_DOWN_Click</definedName>
    <definedName name="KX_DOWN_Click_10">KX_DOWN_Click_10</definedName>
    <definedName name="KX_DOWN_Click_2">KX_DOWN_Click_2</definedName>
    <definedName name="KX_DOWN_Click_3">KX_DOWN_Click_3</definedName>
    <definedName name="KX_DOWN_Click_4">KX_DOWN_Click_4</definedName>
    <definedName name="KX_DOWN_Click_5">KX_DOWN_Click_5</definedName>
    <definedName name="KX_DOWN_Click_6">KX_DOWN_Click_6</definedName>
    <definedName name="KX_DOWN_Click_7">KX_DOWN_Click_7</definedName>
    <definedName name="KX_DOWN_Click_8">KX_DOWN_Click_8</definedName>
    <definedName name="KX_DOWN_Click_9">KX_DOWN_Click_9</definedName>
    <definedName name="KX_UP_Click">[0]!KX_UP_Click</definedName>
    <definedName name="KX_UP_Click_10">KX_UP_Click_10</definedName>
    <definedName name="KX_UP_Click_2">KX_UP_Click_2</definedName>
    <definedName name="KX_UP_Click_3">KX_UP_Click_3</definedName>
    <definedName name="KX_UP_Click_4">KX_UP_Click_4</definedName>
    <definedName name="KX_UP_Click_5">KX_UP_Click_5</definedName>
    <definedName name="KX_UP_Click_6">KX_UP_Click_6</definedName>
    <definedName name="KX_UP_Click_7">KX_UP_Click_7</definedName>
    <definedName name="KX_UP_Click_8">KX_UP_Click_8</definedName>
    <definedName name="KX_UP_Click_9">KX_UP_Click_9</definedName>
    <definedName name="l" localSheetId="0">#REF!</definedName>
    <definedName name="l">#REF!</definedName>
    <definedName name="LAST" localSheetId="0">[9]Colloidal1!#REF!</definedName>
    <definedName name="LAST">[9]Colloidal1!#REF!</definedName>
    <definedName name="lower_L46V2B" localSheetId="0">#REF!</definedName>
    <definedName name="lower_L46V2B">#REF!</definedName>
    <definedName name="lower_L46V2B_8" localSheetId="0">#REF!</definedName>
    <definedName name="lower_L46V2B_8">#REF!</definedName>
    <definedName name="lower_L46V2B_9" localSheetId="0">#REF!</definedName>
    <definedName name="lower_L46V2B_9">#REF!</definedName>
    <definedName name="lower_S35V2A" localSheetId="0">#REF!</definedName>
    <definedName name="lower_S35V2A">#REF!</definedName>
    <definedName name="lower_S35V2A_8" localSheetId="0">#REF!</definedName>
    <definedName name="lower_S35V2A_8">#REF!</definedName>
    <definedName name="lower_S35V2A_9" localSheetId="0">#REF!</definedName>
    <definedName name="lower_S35V2A_9">#REF!</definedName>
    <definedName name="LSAT2" localSheetId="0">[9]Colloidal1!#REF!</definedName>
    <definedName name="LSAT2">[9]Colloidal1!#REF!</definedName>
    <definedName name="main_V1_kg" localSheetId="0">#REF!</definedName>
    <definedName name="main_V1_kg">#REF!</definedName>
    <definedName name="main_V1_kg_8" localSheetId="0">#REF!</definedName>
    <definedName name="main_V1_kg_8">#REF!</definedName>
    <definedName name="main_V1_kg_9" localSheetId="0">#REF!</definedName>
    <definedName name="main_V1_kg_9">#REF!</definedName>
    <definedName name="mass_upright_FA">[2]GLOBALS!$K$5</definedName>
    <definedName name="mass_upright_RA">[2]GLOBALS!$K$6</definedName>
    <definedName name="MUX_DOWN_Click">[0]!MUX_DOWN_Click</definedName>
    <definedName name="MUX_DOWN_Click_10">MUX_DOWN_Click_10</definedName>
    <definedName name="MUX_DOWN_Click_2">MUX_DOWN_Click_2</definedName>
    <definedName name="MUX_DOWN_Click_3">MUX_DOWN_Click_3</definedName>
    <definedName name="MUX_DOWN_Click_4">MUX_DOWN_Click_4</definedName>
    <definedName name="MUX_DOWN_Click_5">MUX_DOWN_Click_5</definedName>
    <definedName name="MUX_DOWN_Click_6">MUX_DOWN_Click_6</definedName>
    <definedName name="MUX_DOWN_Click_7">MUX_DOWN_Click_7</definedName>
    <definedName name="MUX_DOWN_Click_8">MUX_DOWN_Click_8</definedName>
    <definedName name="MUX_DOWN_Click_9">MUX_DOWN_Click_9</definedName>
    <definedName name="MUX_UP_Click">[0]!MUX_UP_Click</definedName>
    <definedName name="MUX_UP_Click_10">MUX_UP_Click_10</definedName>
    <definedName name="MUX_UP_Click_2">MUX_UP_Click_2</definedName>
    <definedName name="MUX_UP_Click_3">MUX_UP_Click_3</definedName>
    <definedName name="MUX_UP_Click_4">MUX_UP_Click_4</definedName>
    <definedName name="MUX_UP_Click_5">MUX_UP_Click_5</definedName>
    <definedName name="MUX_UP_Click_6">MUX_UP_Click_6</definedName>
    <definedName name="MUX_UP_Click_7">MUX_UP_Click_7</definedName>
    <definedName name="MUX_UP_Click_8">MUX_UP_Click_8</definedName>
    <definedName name="MUX_UP_Click_9">MUX_UP_Click_9</definedName>
    <definedName name="MY">[0]!MY</definedName>
    <definedName name="MY_10">MY_10</definedName>
    <definedName name="MY_2">MY_2</definedName>
    <definedName name="MY_3">MY_3</definedName>
    <definedName name="MY_4">MY_4</definedName>
    <definedName name="MY_5">MY_5</definedName>
    <definedName name="MY_6">MY_6</definedName>
    <definedName name="MY_7">MY_7</definedName>
    <definedName name="MY_8">MY_8</definedName>
    <definedName name="MY_9">MY_9</definedName>
    <definedName name="MY_DOWN_Click">[0]!MY_DOWN_Click</definedName>
    <definedName name="MY_DOWN_Click_10">MY_DOWN_Click_10</definedName>
    <definedName name="MY_DOWN_Click_2">MY_DOWN_Click_2</definedName>
    <definedName name="MY_DOWN_Click_3">MY_DOWN_Click_3</definedName>
    <definedName name="MY_DOWN_Click_4">MY_DOWN_Click_4</definedName>
    <definedName name="MY_DOWN_Click_5">MY_DOWN_Click_5</definedName>
    <definedName name="MY_DOWN_Click_6">MY_DOWN_Click_6</definedName>
    <definedName name="MY_DOWN_Click_7">MY_DOWN_Click_7</definedName>
    <definedName name="MY_DOWN_Click_8">MY_DOWN_Click_8</definedName>
    <definedName name="MY_DOWN_Click_9">MY_DOWN_Click_9</definedName>
    <definedName name="MY_UP_Click">[0]!MY_UP_Click</definedName>
    <definedName name="MY_UP_Click_10">MY_UP_Click_10</definedName>
    <definedName name="MY_UP_Click_2">MY_UP_Click_2</definedName>
    <definedName name="MY_UP_Click_3">MY_UP_Click_3</definedName>
    <definedName name="MY_UP_Click_4">MY_UP_Click_4</definedName>
    <definedName name="MY_UP_Click_5">MY_UP_Click_5</definedName>
    <definedName name="MY_UP_Click_6">MY_UP_Click_6</definedName>
    <definedName name="MY_UP_Click_7">MY_UP_Click_7</definedName>
    <definedName name="MY_UP_Click_8">MY_UP_Click_8</definedName>
    <definedName name="MY_UP_Click_9">MY_UP_Click_9</definedName>
    <definedName name="Name" localSheetId="0">#REF!</definedName>
    <definedName name="Name">#REF!</definedName>
    <definedName name="Name_8" localSheetId="0">#REF!</definedName>
    <definedName name="Name_8">#REF!</definedName>
    <definedName name="Name_9" localSheetId="0">#REF!</definedName>
    <definedName name="Name_9">#REF!</definedName>
    <definedName name="OrderTable" localSheetId="0" hidden="1">#REF!</definedName>
    <definedName name="OrderTable" hidden="1">#REF!</definedName>
    <definedName name="pa" localSheetId="0">[1]!'[ログインモジュール].ログイン_Ok_btn'</definedName>
    <definedName name="pa">[1]!'[ログインモジュール].ログイン_Ok_btn'</definedName>
    <definedName name="Phone" localSheetId="0">#REF!</definedName>
    <definedName name="Phone">#REF!</definedName>
    <definedName name="Phone_8" localSheetId="0">#REF!</definedName>
    <definedName name="Phone_8">#REF!</definedName>
    <definedName name="Phone_9" localSheetId="0">#REF!</definedName>
    <definedName name="Phone_9">#REF!</definedName>
    <definedName name="ppppp" localSheetId="0">[13]Gum2!#REF!</definedName>
    <definedName name="ppppp">[13]Gum2!#REF!</definedName>
    <definedName name="_xlnm.Print_Area" localSheetId="0">BuildSheet_mechanics!$A$1:$AJ$87</definedName>
    <definedName name="_xlnm.Print_Area" localSheetId="1">SetupSheet_mechanics!$B$1:$AG$88</definedName>
    <definedName name="Print_Area_MI" localSheetId="0">[9]Gum2!#REF!</definedName>
    <definedName name="Print_Area_MI">[9]Gum2!#REF!</definedName>
    <definedName name="ProdForm" localSheetId="0" hidden="1">#REF!</definedName>
    <definedName name="ProdForm" hidden="1">#REF!</definedName>
    <definedName name="Product" localSheetId="0" hidden="1">#REF!</definedName>
    <definedName name="Product" hidden="1">#REF!</definedName>
    <definedName name="RAmeasured" localSheetId="0">#REF!</definedName>
    <definedName name="RAmeasured">#REF!</definedName>
    <definedName name="RAmeasured_8" localSheetId="0">#REF!</definedName>
    <definedName name="RAmeasured_8">#REF!</definedName>
    <definedName name="RAmeasured_9" localSheetId="0">#REF!</definedName>
    <definedName name="RAmeasured_9">#REF!</definedName>
    <definedName name="RAnoballast" localSheetId="0">#REF!</definedName>
    <definedName name="RAnoballast">#REF!</definedName>
    <definedName name="RAnoballast_8" localSheetId="0">#REF!</definedName>
    <definedName name="RAnoballast_8">#REF!</definedName>
    <definedName name="RAnoballast_9" localSheetId="0">#REF!</definedName>
    <definedName name="RAnoballast_9">#REF!</definedName>
    <definedName name="RCArea" localSheetId="0" hidden="1">#REF!</definedName>
    <definedName name="RCArea" hidden="1">#REF!</definedName>
    <definedName name="RE">[10]REAR!$A$2:$N$3378</definedName>
    <definedName name="RW_ep_V4f1" localSheetId="0">#REF!</definedName>
    <definedName name="RW_ep_V4f1">#REF!</definedName>
    <definedName name="RW_ep_V4f1_8" localSheetId="0">#REF!</definedName>
    <definedName name="RW_ep_V4f1_8">#REF!</definedName>
    <definedName name="RW_ep_V4f1_9" localSheetId="0">#REF!</definedName>
    <definedName name="RW_ep_V4f1_9">#REF!</definedName>
    <definedName name="RW_ep_V4j" localSheetId="0">#REF!</definedName>
    <definedName name="RW_ep_V4j">#REF!</definedName>
    <definedName name="RW_ep_V4j_8" localSheetId="0">#REF!</definedName>
    <definedName name="RW_ep_V4j_8">#REF!</definedName>
    <definedName name="RW_ep_V4j_9" localSheetId="0">#REF!</definedName>
    <definedName name="RW_ep_V4j_9">#REF!</definedName>
    <definedName name="SD">[0]!SD</definedName>
    <definedName name="SD_10">SD_10</definedName>
    <definedName name="SD_2">SD_2</definedName>
    <definedName name="SD_3">SD_3</definedName>
    <definedName name="SD_4">SD_4</definedName>
    <definedName name="SD_5">SD_5</definedName>
    <definedName name="SD_6">SD_6</definedName>
    <definedName name="SD_7">SD_7</definedName>
    <definedName name="SD_8">SD_8</definedName>
    <definedName name="SD_9">SD_9</definedName>
    <definedName name="SHX_DOWN_Click">[0]!SHX_DOWN_Click</definedName>
    <definedName name="SHX_DOWN_Click_10">SHX_DOWN_Click_10</definedName>
    <definedName name="SHX_DOWN_Click_2">SHX_DOWN_Click_2</definedName>
    <definedName name="SHX_DOWN_Click_3">SHX_DOWN_Click_3</definedName>
    <definedName name="SHX_DOWN_Click_4">SHX_DOWN_Click_4</definedName>
    <definedName name="SHX_DOWN_Click_5">SHX_DOWN_Click_5</definedName>
    <definedName name="SHX_DOWN_Click_6">SHX_DOWN_Click_6</definedName>
    <definedName name="SHX_DOWN_Click_7">SHX_DOWN_Click_7</definedName>
    <definedName name="SHX_DOWN_Click_8">SHX_DOWN_Click_8</definedName>
    <definedName name="SHX_DOWN_Click_9">SHX_DOWN_Click_9</definedName>
    <definedName name="SHX_UP_Click">[0]!SHX_UP_Click</definedName>
    <definedName name="SHX_UP_Click_10">SHX_UP_Click_10</definedName>
    <definedName name="SHX_UP_Click_2">SHX_UP_Click_2</definedName>
    <definedName name="SHX_UP_Click_3">SHX_UP_Click_3</definedName>
    <definedName name="SHX_UP_Click_4">SHX_UP_Click_4</definedName>
    <definedName name="SHX_UP_Click_5">SHX_UP_Click_5</definedName>
    <definedName name="SHX_UP_Click_6">SHX_UP_Click_6</definedName>
    <definedName name="SHX_UP_Click_7">SHX_UP_Click_7</definedName>
    <definedName name="SHX_UP_Click_8">SHX_UP_Click_8</definedName>
    <definedName name="SHX_UP_Click_9">SHX_UP_Click_9</definedName>
    <definedName name="sidefactorFAp1" localSheetId="0">#REF!</definedName>
    <definedName name="sidefactorFAp1">#REF!</definedName>
    <definedName name="sidefactorFAp1_8" localSheetId="0">#REF!</definedName>
    <definedName name="sidefactorFAp1_8">#REF!</definedName>
    <definedName name="sidefactorFAp1_9" localSheetId="0">#REF!</definedName>
    <definedName name="sidefactorFAp1_9">#REF!</definedName>
    <definedName name="sidefactorFAp2" localSheetId="0">#REF!</definedName>
    <definedName name="sidefactorFAp2">#REF!</definedName>
    <definedName name="sidefactorFAp2_8" localSheetId="0">#REF!</definedName>
    <definedName name="sidefactorFAp2_8">#REF!</definedName>
    <definedName name="sidefactorFAp2_9" localSheetId="0">#REF!</definedName>
    <definedName name="sidefactorFAp2_9">#REF!</definedName>
    <definedName name="sidefactorFAp3" localSheetId="0">#REF!</definedName>
    <definedName name="sidefactorFAp3">#REF!</definedName>
    <definedName name="sidefactorFAp3_8" localSheetId="0">#REF!</definedName>
    <definedName name="sidefactorFAp3_8">#REF!</definedName>
    <definedName name="sidefactorFAp3_9" localSheetId="0">#REF!</definedName>
    <definedName name="sidefactorFAp3_9">#REF!</definedName>
    <definedName name="sidefactorFAp4" localSheetId="0">#REF!</definedName>
    <definedName name="sidefactorFAp4">#REF!</definedName>
    <definedName name="sidefactorFAp4_8" localSheetId="0">#REF!</definedName>
    <definedName name="sidefactorFAp4_8">#REF!</definedName>
    <definedName name="sidefactorFAp4_9" localSheetId="0">#REF!</definedName>
    <definedName name="sidefactorFAp4_9">#REF!</definedName>
    <definedName name="sidefactorFAp5" localSheetId="0">#REF!</definedName>
    <definedName name="sidefactorFAp5">#REF!</definedName>
    <definedName name="sidefactorFAp5_8" localSheetId="0">#REF!</definedName>
    <definedName name="sidefactorFAp5_8">#REF!</definedName>
    <definedName name="sidefactorFAp5_9" localSheetId="0">#REF!</definedName>
    <definedName name="sidefactorFAp5_9">#REF!</definedName>
    <definedName name="sidefactorFAp6" localSheetId="0">#REF!</definedName>
    <definedName name="sidefactorFAp6">#REF!</definedName>
    <definedName name="sidefactorFAp6_8" localSheetId="0">#REF!</definedName>
    <definedName name="sidefactorFAp6_8">#REF!</definedName>
    <definedName name="sidefactorFAp6_9" localSheetId="0">#REF!</definedName>
    <definedName name="sidefactorFAp6_9">#REF!</definedName>
    <definedName name="sidefactorFAp7" localSheetId="0">#REF!</definedName>
    <definedName name="sidefactorFAp7">#REF!</definedName>
    <definedName name="sidefactorFAp7_8" localSheetId="0">#REF!</definedName>
    <definedName name="sidefactorFAp7_8">#REF!</definedName>
    <definedName name="sidefactorFAp7_9" localSheetId="0">#REF!</definedName>
    <definedName name="sidefactorFAp7_9">#REF!</definedName>
    <definedName name="sidefactorFAp8" localSheetId="0">#REF!</definedName>
    <definedName name="sidefactorFAp8">#REF!</definedName>
    <definedName name="sidefactorFAp8_8" localSheetId="0">#REF!</definedName>
    <definedName name="sidefactorFAp8_8">#REF!</definedName>
    <definedName name="sidefactorFAp8_9" localSheetId="0">#REF!</definedName>
    <definedName name="sidefactorFAp8_9">#REF!</definedName>
    <definedName name="sidefactorRAp1" localSheetId="0">#REF!</definedName>
    <definedName name="sidefactorRAp1">#REF!</definedName>
    <definedName name="sidefactorRAp1_8" localSheetId="0">#REF!</definedName>
    <definedName name="sidefactorRAp1_8">#REF!</definedName>
    <definedName name="sidefactorRAp1_9" localSheetId="0">#REF!</definedName>
    <definedName name="sidefactorRAp1_9">#REF!</definedName>
    <definedName name="sidefactorRAp2" localSheetId="0">#REF!</definedName>
    <definedName name="sidefactorRAp2">#REF!</definedName>
    <definedName name="sidefactorRAp2_8" localSheetId="0">#REF!</definedName>
    <definedName name="sidefactorRAp2_8">#REF!</definedName>
    <definedName name="sidefactorRAp2_9" localSheetId="0">#REF!</definedName>
    <definedName name="sidefactorRAp2_9">#REF!</definedName>
    <definedName name="sidefactorRAp3" localSheetId="0">#REF!</definedName>
    <definedName name="sidefactorRAp3">#REF!</definedName>
    <definedName name="sidefactorRAp3_8" localSheetId="0">#REF!</definedName>
    <definedName name="sidefactorRAp3_8">#REF!</definedName>
    <definedName name="sidefactorRAp3_9" localSheetId="0">#REF!</definedName>
    <definedName name="sidefactorRAp3_9">#REF!</definedName>
    <definedName name="sidefactorRAp4" localSheetId="0">#REF!</definedName>
    <definedName name="sidefactorRAp4">#REF!</definedName>
    <definedName name="sidefactorRAp4_8" localSheetId="0">#REF!</definedName>
    <definedName name="sidefactorRAp4_8">#REF!</definedName>
    <definedName name="sidefactorRAp4_9" localSheetId="0">#REF!</definedName>
    <definedName name="sidefactorRAp4_9">#REF!</definedName>
    <definedName name="sidefactorRAp5" localSheetId="0">#REF!</definedName>
    <definedName name="sidefactorRAp5">#REF!</definedName>
    <definedName name="sidefactorRAp5_8" localSheetId="0">#REF!</definedName>
    <definedName name="sidefactorRAp5_8">#REF!</definedName>
    <definedName name="sidefactorRAp5_9" localSheetId="0">#REF!</definedName>
    <definedName name="sidefactorRAp5_9">#REF!</definedName>
    <definedName name="sidefactorRAp6" localSheetId="0">#REF!</definedName>
    <definedName name="sidefactorRAp6">#REF!</definedName>
    <definedName name="sidefactorRAp6_8" localSheetId="0">#REF!</definedName>
    <definedName name="sidefactorRAp6_8">#REF!</definedName>
    <definedName name="sidefactorRAp6_9" localSheetId="0">#REF!</definedName>
    <definedName name="sidefactorRAp6_9">#REF!</definedName>
    <definedName name="sidefactorRAp7" localSheetId="0">#REF!</definedName>
    <definedName name="sidefactorRAp7">#REF!</definedName>
    <definedName name="sidefactorRAp7_8" localSheetId="0">#REF!</definedName>
    <definedName name="sidefactorRAp7_8">#REF!</definedName>
    <definedName name="sidefactorRAp7_9" localSheetId="0">#REF!</definedName>
    <definedName name="sidefactorRAp7_9">#REF!</definedName>
    <definedName name="sidefactorRAp8" localSheetId="0">#REF!</definedName>
    <definedName name="sidefactorRAp8">#REF!</definedName>
    <definedName name="sidefactorRAp8_8" localSheetId="0">#REF!</definedName>
    <definedName name="sidefactorRAp8_8">#REF!</definedName>
    <definedName name="sidefactorRAp8_9" localSheetId="0">#REF!</definedName>
    <definedName name="sidefactorRAp8_9">#REF!</definedName>
    <definedName name="sidegirofactorFAp1" localSheetId="0">#REF!</definedName>
    <definedName name="sidegirofactorFAp1">#REF!</definedName>
    <definedName name="sidegirofactorFAp1_8" localSheetId="0">#REF!</definedName>
    <definedName name="sidegirofactorFAp1_8">#REF!</definedName>
    <definedName name="sidegirofactorFAp1_9" localSheetId="0">#REF!</definedName>
    <definedName name="sidegirofactorFAp1_9">#REF!</definedName>
    <definedName name="sidegirofactorFAp2" localSheetId="0">#REF!</definedName>
    <definedName name="sidegirofactorFAp2">#REF!</definedName>
    <definedName name="sidegirofactorFAp2_8" localSheetId="0">#REF!</definedName>
    <definedName name="sidegirofactorFAp2_8">#REF!</definedName>
    <definedName name="sidegirofactorFAp2_9" localSheetId="0">#REF!</definedName>
    <definedName name="sidegirofactorFAp2_9">#REF!</definedName>
    <definedName name="sidegirofactorRAp1" localSheetId="0">#REF!</definedName>
    <definedName name="sidegirofactorRAp1">#REF!</definedName>
    <definedName name="sidegirofactorRAp1_8" localSheetId="0">#REF!</definedName>
    <definedName name="sidegirofactorRAp1_8">#REF!</definedName>
    <definedName name="sidegirofactorRAp1_9" localSheetId="0">#REF!</definedName>
    <definedName name="sidegirofactorRAp1_9">#REF!</definedName>
    <definedName name="sidegirofactorRAp2" localSheetId="0">#REF!</definedName>
    <definedName name="sidegirofactorRAp2">#REF!</definedName>
    <definedName name="sidegirofactorRAp2_8" localSheetId="0">#REF!</definedName>
    <definedName name="sidegirofactorRAp2_8">#REF!</definedName>
    <definedName name="sidegirofactorRAp2_9" localSheetId="0">#REF!</definedName>
    <definedName name="sidegirofactorRAp2_9">#REF!</definedName>
    <definedName name="sidegiroXp1" localSheetId="0">#REF!</definedName>
    <definedName name="sidegiroXp1">#REF!</definedName>
    <definedName name="sidegiroXp1_8" localSheetId="0">#REF!</definedName>
    <definedName name="sidegiroXp1_8">#REF!</definedName>
    <definedName name="sidegiroXp1_9" localSheetId="0">#REF!</definedName>
    <definedName name="sidegiroXp1_9">#REF!</definedName>
    <definedName name="sidegiroXp2" localSheetId="0">#REF!</definedName>
    <definedName name="sidegiroXp2">#REF!</definedName>
    <definedName name="sidegiroXp2_8" localSheetId="0">#REF!</definedName>
    <definedName name="sidegiroXp2_8">#REF!</definedName>
    <definedName name="sidegiroXp2_9" localSheetId="0">#REF!</definedName>
    <definedName name="sidegiroXp2_9">#REF!</definedName>
    <definedName name="sideXp1" localSheetId="0">#REF!</definedName>
    <definedName name="sideXp1">#REF!</definedName>
    <definedName name="sideXp1_8" localSheetId="0">#REF!</definedName>
    <definedName name="sideXp1_8">#REF!</definedName>
    <definedName name="sideXp1_9" localSheetId="0">#REF!</definedName>
    <definedName name="sideXp1_9">#REF!</definedName>
    <definedName name="sideXp2" localSheetId="0">#REF!</definedName>
    <definedName name="sideXp2">#REF!</definedName>
    <definedName name="sideXp2_8" localSheetId="0">#REF!</definedName>
    <definedName name="sideXp2_8">#REF!</definedName>
    <definedName name="sideXp2_9" localSheetId="0">#REF!</definedName>
    <definedName name="sideXp2_9">#REF!</definedName>
    <definedName name="sideXp3" localSheetId="0">#REF!</definedName>
    <definedName name="sideXp3">#REF!</definedName>
    <definedName name="sideXp3_8" localSheetId="0">#REF!</definedName>
    <definedName name="sideXp3_8">#REF!</definedName>
    <definedName name="sideXp3_9" localSheetId="0">#REF!</definedName>
    <definedName name="sideXp3_9">#REF!</definedName>
    <definedName name="sideXp4" localSheetId="0">#REF!</definedName>
    <definedName name="sideXp4">#REF!</definedName>
    <definedName name="sideXp4_8" localSheetId="0">#REF!</definedName>
    <definedName name="sideXp4_8">#REF!</definedName>
    <definedName name="sideXp4_9" localSheetId="0">#REF!</definedName>
    <definedName name="sideXp4_9">#REF!</definedName>
    <definedName name="sideXp5" localSheetId="0">#REF!</definedName>
    <definedName name="sideXp5">#REF!</definedName>
    <definedName name="sideXp5_8" localSheetId="0">#REF!</definedName>
    <definedName name="sideXp5_8">#REF!</definedName>
    <definedName name="sideXp5_9" localSheetId="0">#REF!</definedName>
    <definedName name="sideXp5_9">#REF!</definedName>
    <definedName name="sideXp6" localSheetId="0">#REF!</definedName>
    <definedName name="sideXp6">#REF!</definedName>
    <definedName name="sideXp6_8" localSheetId="0">#REF!</definedName>
    <definedName name="sideXp6_8">#REF!</definedName>
    <definedName name="sideXp6_9" localSheetId="0">#REF!</definedName>
    <definedName name="sideXp6_9">#REF!</definedName>
    <definedName name="sideXp7" localSheetId="0">#REF!</definedName>
    <definedName name="sideXp7">#REF!</definedName>
    <definedName name="sideXp7_8" localSheetId="0">#REF!</definedName>
    <definedName name="sideXp7_8">#REF!</definedName>
    <definedName name="sideXp7_9" localSheetId="0">#REF!</definedName>
    <definedName name="sideXp7_9">#REF!</definedName>
    <definedName name="sideXp8" localSheetId="0">#REF!</definedName>
    <definedName name="sideXp8">#REF!</definedName>
    <definedName name="sideXp8_8" localSheetId="0">#REF!</definedName>
    <definedName name="sideXp8_8">#REF!</definedName>
    <definedName name="sideXp8_9" localSheetId="0">#REF!</definedName>
    <definedName name="sideXp8_9">#REF!</definedName>
    <definedName name="sillyfactorFAp1" localSheetId="0">#REF!</definedName>
    <definedName name="sillyfactorFAp1">#REF!</definedName>
    <definedName name="sillyfactorFAp1_8" localSheetId="0">#REF!</definedName>
    <definedName name="sillyfactorFAp1_8">#REF!</definedName>
    <definedName name="sillyfactorFAp1_9" localSheetId="0">#REF!</definedName>
    <definedName name="sillyfactorFAp1_9">#REF!</definedName>
    <definedName name="sillyfactorFAp2" localSheetId="0">#REF!</definedName>
    <definedName name="sillyfactorFAp2">#REF!</definedName>
    <definedName name="sillyfactorFAp2_8" localSheetId="0">#REF!</definedName>
    <definedName name="sillyfactorFAp2_8">#REF!</definedName>
    <definedName name="sillyfactorFAp2_9" localSheetId="0">#REF!</definedName>
    <definedName name="sillyfactorFAp2_9">#REF!</definedName>
    <definedName name="sillyfactorRAp1" localSheetId="0">#REF!</definedName>
    <definedName name="sillyfactorRAp1">#REF!</definedName>
    <definedName name="sillyfactorRAp1_8" localSheetId="0">#REF!</definedName>
    <definedName name="sillyfactorRAp1_8">#REF!</definedName>
    <definedName name="sillyfactorRAp1_9" localSheetId="0">#REF!</definedName>
    <definedName name="sillyfactorRAp1_9">#REF!</definedName>
    <definedName name="sillyfactorRAp2" localSheetId="0">#REF!</definedName>
    <definedName name="sillyfactorRAp2">#REF!</definedName>
    <definedName name="sillyfactorRAp2_8" localSheetId="0">#REF!</definedName>
    <definedName name="sillyfactorRAp2_8">#REF!</definedName>
    <definedName name="sillyfactorRAp2_9" localSheetId="0">#REF!</definedName>
    <definedName name="sillyfactorRAp2_9">#REF!</definedName>
    <definedName name="sillyXp1" localSheetId="0">#REF!</definedName>
    <definedName name="sillyXp1">#REF!</definedName>
    <definedName name="sillyXp1_8" localSheetId="0">#REF!</definedName>
    <definedName name="sillyXp1_8">#REF!</definedName>
    <definedName name="sillyXp1_9" localSheetId="0">#REF!</definedName>
    <definedName name="sillyXp1_9">#REF!</definedName>
    <definedName name="sillyXp2" localSheetId="0">#REF!</definedName>
    <definedName name="sillyXp2">#REF!</definedName>
    <definedName name="sillyXp2_8" localSheetId="0">#REF!</definedName>
    <definedName name="sillyXp2_8">#REF!</definedName>
    <definedName name="sillyXp2_9" localSheetId="0">#REF!</definedName>
    <definedName name="sillyXp2_9">#REF!</definedName>
    <definedName name="skidfactorFAp1" localSheetId="0">#REF!</definedName>
    <definedName name="skidfactorFAp1">#REF!</definedName>
    <definedName name="skidfactorFAp1_8" localSheetId="0">#REF!</definedName>
    <definedName name="skidfactorFAp1_8">#REF!</definedName>
    <definedName name="skidfactorFAp1_9" localSheetId="0">#REF!</definedName>
    <definedName name="skidfactorFAp1_9">#REF!</definedName>
    <definedName name="skidfactorFAp2" localSheetId="0">#REF!</definedName>
    <definedName name="skidfactorFAp2">#REF!</definedName>
    <definedName name="skidfactorFAp2_8" localSheetId="0">#REF!</definedName>
    <definedName name="skidfactorFAp2_8">#REF!</definedName>
    <definedName name="skidfactorFAp2_9" localSheetId="0">#REF!</definedName>
    <definedName name="skidfactorFAp2_9">#REF!</definedName>
    <definedName name="skidfactorFAp3" localSheetId="0">#REF!</definedName>
    <definedName name="skidfactorFAp3">#REF!</definedName>
    <definedName name="skidfactorFAp3_8" localSheetId="0">#REF!</definedName>
    <definedName name="skidfactorFAp3_8">#REF!</definedName>
    <definedName name="skidfactorFAp3_9" localSheetId="0">#REF!</definedName>
    <definedName name="skidfactorFAp3_9">#REF!</definedName>
    <definedName name="skidfactorRAp1" localSheetId="0">#REF!</definedName>
    <definedName name="skidfactorRAp1">#REF!</definedName>
    <definedName name="skidfactorRAp1_8" localSheetId="0">#REF!</definedName>
    <definedName name="skidfactorRAp1_8">#REF!</definedName>
    <definedName name="skidfactorRAp1_9" localSheetId="0">#REF!</definedName>
    <definedName name="skidfactorRAp1_9">#REF!</definedName>
    <definedName name="skidfactorRAp2" localSheetId="0">#REF!</definedName>
    <definedName name="skidfactorRAp2">#REF!</definedName>
    <definedName name="skidfactorRAp2_8" localSheetId="0">#REF!</definedName>
    <definedName name="skidfactorRAp2_8">#REF!</definedName>
    <definedName name="skidfactorRAp2_9" localSheetId="0">#REF!</definedName>
    <definedName name="skidfactorRAp2_9">#REF!</definedName>
    <definedName name="skidfactorRAp3" localSheetId="0">#REF!</definedName>
    <definedName name="skidfactorRAp3">#REF!</definedName>
    <definedName name="skidfactorRAp3_8" localSheetId="0">#REF!</definedName>
    <definedName name="skidfactorRAp3_8">#REF!</definedName>
    <definedName name="skidfactorRAp3_9" localSheetId="0">#REF!</definedName>
    <definedName name="skidfactorRAp3_9">#REF!</definedName>
    <definedName name="skidXp1" localSheetId="0">#REF!</definedName>
    <definedName name="skidXp1">#REF!</definedName>
    <definedName name="skidXp1_8" localSheetId="0">#REF!</definedName>
    <definedName name="skidXp1_8">#REF!</definedName>
    <definedName name="skidXp1_9" localSheetId="0">#REF!</definedName>
    <definedName name="skidXp1_9">#REF!</definedName>
    <definedName name="skidXp2" localSheetId="0">#REF!</definedName>
    <definedName name="skidXp2">#REF!</definedName>
    <definedName name="skidXp2_8" localSheetId="0">#REF!</definedName>
    <definedName name="skidXp2_8">#REF!</definedName>
    <definedName name="skidXp2_9" localSheetId="0">#REF!</definedName>
    <definedName name="skidXp2_9">#REF!</definedName>
    <definedName name="skidxp3" localSheetId="0">#REF!</definedName>
    <definedName name="skidxp3">#REF!</definedName>
    <definedName name="skidxp3_8" localSheetId="0">#REF!</definedName>
    <definedName name="skidxp3_8">#REF!</definedName>
    <definedName name="skidxp3_9" localSheetId="0">#REF!</definedName>
    <definedName name="skidxp3_9">#REF!</definedName>
    <definedName name="SpecialPrice" localSheetId="0" hidden="1">#REF!</definedName>
    <definedName name="SpecialPrice" hidden="1">#REF!</definedName>
    <definedName name="SS">[0]!SS</definedName>
    <definedName name="SS_10">SS_10</definedName>
    <definedName name="SS_2">SS_2</definedName>
    <definedName name="SS_3">SS_3</definedName>
    <definedName name="SS_4">SS_4</definedName>
    <definedName name="SS_5">SS_5</definedName>
    <definedName name="SS_6">SS_6</definedName>
    <definedName name="SS_7">SS_7</definedName>
    <definedName name="SS_8">SS_8</definedName>
    <definedName name="SS_9">SS_9</definedName>
    <definedName name="State" localSheetId="0">#REF!</definedName>
    <definedName name="State">#REF!</definedName>
    <definedName name="State_8" localSheetId="0">#REF!</definedName>
    <definedName name="State_8">#REF!</definedName>
    <definedName name="State_9" localSheetId="0">#REF!</definedName>
    <definedName name="State_9">#REF!</definedName>
    <definedName name="SVX_DOWN_Click">[0]!SVX_DOWN_Click</definedName>
    <definedName name="SVX_DOWN_Click_10">SVX_DOWN_Click_10</definedName>
    <definedName name="SVX_DOWN_Click_2">SVX_DOWN_Click_2</definedName>
    <definedName name="SVX_DOWN_Click_3">SVX_DOWN_Click_3</definedName>
    <definedName name="SVX_DOWN_Click_4">SVX_DOWN_Click_4</definedName>
    <definedName name="SVX_DOWN_Click_5">SVX_DOWN_Click_5</definedName>
    <definedName name="SVX_DOWN_Click_6">SVX_DOWN_Click_6</definedName>
    <definedName name="SVX_DOWN_Click_7">SVX_DOWN_Click_7</definedName>
    <definedName name="SVX_DOWN_Click_8">SVX_DOWN_Click_8</definedName>
    <definedName name="SVX_DOWN_Click_9">SVX_DOWN_Click_9</definedName>
    <definedName name="SVX_UP_Click">[0]!SVX_UP_Click</definedName>
    <definedName name="SVX_UP_Click_10">SVX_UP_Click_10</definedName>
    <definedName name="SVX_UP_Click_2">SVX_UP_Click_2</definedName>
    <definedName name="SVX_UP_Click_3">SVX_UP_Click_3</definedName>
    <definedName name="SVX_UP_Click_4">SVX_UP_Click_4</definedName>
    <definedName name="SVX_UP_Click_5">SVX_UP_Click_5</definedName>
    <definedName name="SVX_UP_Click_6">SVX_UP_Click_6</definedName>
    <definedName name="SVX_UP_Click_7">SVX_UP_Click_7</definedName>
    <definedName name="SVX_UP_Click_8">SVX_UP_Click_8</definedName>
    <definedName name="SVX_UP_Click_9">SVX_UP_Click_9</definedName>
    <definedName name="SX">[0]!SX</definedName>
    <definedName name="SX_10">SX_10</definedName>
    <definedName name="SX_2">SX_2</definedName>
    <definedName name="SX_3">SX_3</definedName>
    <definedName name="SX_4">SX_4</definedName>
    <definedName name="SX_5">SX_5</definedName>
    <definedName name="SX_6">SX_6</definedName>
    <definedName name="SX_7">SX_7</definedName>
    <definedName name="SX_8">SX_8</definedName>
    <definedName name="SX_9">SX_9</definedName>
    <definedName name="t" localSheetId="0">#REF!</definedName>
    <definedName name="t">#REF!</definedName>
    <definedName name="tbl_ProdInfo" localSheetId="0" hidden="1">#REF!</definedName>
    <definedName name="tbl_ProdInfo" hidden="1">#REF!</definedName>
    <definedName name="TEST" localSheetId="0">[1]!'[ログインモジュール].ログイン_Cancel_btn'</definedName>
    <definedName name="TEST">[1]!'[ログインモジュール].ログイン_Cancel_btn'</definedName>
    <definedName name="TEST2" localSheetId="0">[1]!'[ログインモジュール].ログイン_Ok_btn'</definedName>
    <definedName name="TEST2">[1]!'[ログインモジュール].ログイン_Ok_btn'</definedName>
    <definedName name="TEST3" localSheetId="0">#REF!</definedName>
    <definedName name="TEST3">#REF!</definedName>
    <definedName name="TEST3_8" localSheetId="0">#REF!</definedName>
    <definedName name="TEST3_8">#REF!</definedName>
    <definedName name="track_avg">[2]GLOBALS!$K$23</definedName>
    <definedName name="track_FA">[2]GLOBALS!$K$21</definedName>
    <definedName name="track_RA">[2]GLOBALS!$K$22</definedName>
    <definedName name="triplane_3pl_V8" localSheetId="0">#REF!</definedName>
    <definedName name="triplane_3pl_V8">#REF!</definedName>
    <definedName name="triplane_3pl_V8_8" localSheetId="0">#REF!</definedName>
    <definedName name="triplane_3pl_V8_8">#REF!</definedName>
    <definedName name="triplane_3pl_V8_9" localSheetId="0">#REF!</definedName>
    <definedName name="triplane_3pl_V8_9">#REF!</definedName>
    <definedName name="ugy" localSheetId="0">#REF!,#REF!</definedName>
    <definedName name="ugy">#REF!,#REF!</definedName>
    <definedName name="uy" localSheetId="0">#REF!,#REF!</definedName>
    <definedName name="uy">#REF!,#REF!</definedName>
    <definedName name="uyg" localSheetId="0">#REF!,#REF!,#REF!,#REF!</definedName>
    <definedName name="uyg">#REF!,#REF!,#REF!,#REF!</definedName>
    <definedName name="uygf" localSheetId="0">#REF!,#REF!</definedName>
    <definedName name="uygf">#REF!,#REF!</definedName>
    <definedName name="vf" localSheetId="0">#REF!</definedName>
    <definedName name="vf">#REF!</definedName>
    <definedName name="WET" localSheetId="0">#REF!</definedName>
    <definedName name="WET">#REF!</definedName>
    <definedName name="WETFRNT" localSheetId="0">#REF!</definedName>
    <definedName name="WETFRNT">#REF!</definedName>
    <definedName name="WETREAR" localSheetId="0">#REF!</definedName>
    <definedName name="WETREAR">#REF!</definedName>
    <definedName name="wheelbase" localSheetId="0">#REF!</definedName>
    <definedName name="wheelbase">#REF!</definedName>
    <definedName name="wheelbase_8" localSheetId="0">#REF!</definedName>
    <definedName name="wheelbase_8">#REF!</definedName>
    <definedName name="wheelbase_9" localSheetId="0">#REF!</definedName>
    <definedName name="wheelbase_9">#REF!</definedName>
    <definedName name="wrn.Milwaukee._.Test._.Report." hidden="1">{#N/A,#N/A,FALSE,"Ganassi - Milw. Test";#N/A,#N/A,FALSE,"PacWest- Milw. Test ";#N/A,#N/A,FALSE,"Compound Comparison ";#N/A,#N/A,FALSE,"Compound Wear";#N/A,#N/A,FALSE,"Construction Comparison ";#N/A,#N/A,FALSE,"Construction Wear ";#N/A,#N/A,FALSE,"Temps."}</definedName>
    <definedName name="ww1_8" localSheetId="0">#REF!</definedName>
    <definedName name="ww1_8">#REF!</definedName>
    <definedName name="www" hidden="1">{#N/A,#N/A,FALSE,"Ganassi - Milw. Test";#N/A,#N/A,FALSE,"PacWest- Milw. Test ";#N/A,#N/A,FALSE,"Compound Comparison ";#N/A,#N/A,FALSE,"Compound Wear";#N/A,#N/A,FALSE,"Construction Comparison ";#N/A,#N/A,FALSE,"Construction Wear ";#N/A,#N/A,FALSE,"Temps."}</definedName>
    <definedName name="Zip" localSheetId="0">#REF!</definedName>
    <definedName name="Zip">#REF!</definedName>
    <definedName name="Zip_8" localSheetId="0">#REF!</definedName>
    <definedName name="Zip_8">#REF!</definedName>
    <definedName name="Zip_9" localSheetId="0">#REF!</definedName>
    <definedName name="Zip_9">#REF!</definedName>
    <definedName name="あ１６０" localSheetId="0">#REF!</definedName>
    <definedName name="あ１６０">#REF!</definedName>
    <definedName name="ログイン_Cancel_btn" localSheetId="0">[14]!ログイン_Cancel_btn</definedName>
    <definedName name="ログイン_Cancel_btn">[14]!ログイン_Cancel_btn</definedName>
    <definedName name="ログイン_Ok_btn" localSheetId="0">[14]!ログイン_Ok_btn</definedName>
    <definedName name="ログイン_Ok_btn">[14]!ログイン_Ok_btn</definedName>
    <definedName name="工場別全サイズ" localSheetId="0">[15]!工場別全サイズ</definedName>
    <definedName name="工場別全サイズ">[15]!工場別全サイズ</definedName>
    <definedName name="工場別全サイズ_Dialog_Cancel" localSheetId="0">[15]!工場別全サイズ_Dialog_Cancel</definedName>
    <definedName name="工場別全サイズ_Dialog_Cancel">[15]!工場別全サイズ_Dialog_Cancel</definedName>
    <definedName name="工場別全サイズ_Dialog_Ok" localSheetId="0">[15]!工場別全サイズ_Dialog_Ok</definedName>
    <definedName name="工場別全サイズ_Dialog_Ok">[15]!工場別全サイズ_Dialog_Ok</definedName>
    <definedName name="廃棄④クリア" localSheetId="0">#REF!,#REF!</definedName>
    <definedName name="廃棄④クリア">#REF!,#REF!</definedName>
    <definedName name="廃棄④クリア_8" localSheetId="0">#REF!,#REF!</definedName>
    <definedName name="廃棄④クリア_8">#REF!,#REF!</definedName>
    <definedName name="推定">[16]!推定</definedName>
    <definedName name="移動①クリア" localSheetId="0">#REF!,#REF!</definedName>
    <definedName name="移動①クリア">#REF!,#REF!</definedName>
    <definedName name="移動①クリア_8" localSheetId="0">#REF!,#REF!</definedName>
    <definedName name="移動①クリア_8">#REF!,#REF!</definedName>
    <definedName name="移動②クリア" localSheetId="0">#REF!,#REF!</definedName>
    <definedName name="移動②クリア">#REF!,#REF!</definedName>
    <definedName name="移動②クリア_8" localSheetId="0">#REF!,#REF!</definedName>
    <definedName name="移動②クリア_8">#REF!,#REF!</definedName>
    <definedName name="移動③クリア" localSheetId="0">#REF!,#REF!,#REF!,#REF!</definedName>
    <definedName name="移動③クリア">#REF!,#REF!,#REF!,#REF!</definedName>
    <definedName name="移動③クリア_8" localSheetId="0">#REF!,#REF!,#REF!,#REF!</definedName>
    <definedName name="移動③クリア_8">#REF!,#REF!,#REF!,#REF!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3" l="1"/>
  <c r="K9" i="3" l="1"/>
  <c r="J9" i="3" s="1"/>
  <c r="I9" i="3" s="1"/>
  <c r="H9" i="3" s="1"/>
  <c r="D25" i="3" l="1"/>
  <c r="D26" i="3" s="1"/>
  <c r="D27" i="3" l="1"/>
  <c r="D28" i="3"/>
  <c r="D29" i="3" s="1"/>
  <c r="Y2" i="1" s="1"/>
  <c r="Z56" i="6"/>
  <c r="AB55" i="6"/>
  <c r="J56" i="6"/>
  <c r="AB23" i="6"/>
  <c r="I23" i="6"/>
  <c r="AB13" i="6"/>
  <c r="L75" i="6"/>
  <c r="Z74" i="6"/>
  <c r="S74" i="6"/>
  <c r="L74" i="6"/>
  <c r="L70" i="6"/>
  <c r="S69" i="6"/>
  <c r="L69" i="6"/>
  <c r="O51" i="6"/>
  <c r="S49" i="6"/>
  <c r="O49" i="6"/>
  <c r="S47" i="6"/>
  <c r="O47" i="6"/>
  <c r="O46" i="6"/>
  <c r="S44" i="6"/>
  <c r="O44" i="6"/>
  <c r="O43" i="6"/>
  <c r="O42" i="6"/>
  <c r="O41" i="6"/>
  <c r="O37" i="6"/>
  <c r="S35" i="6"/>
  <c r="O35" i="6"/>
  <c r="S33" i="6"/>
  <c r="O33" i="6"/>
  <c r="O32" i="6"/>
  <c r="S30" i="6"/>
  <c r="O30" i="6"/>
  <c r="O29" i="6"/>
  <c r="O28" i="6"/>
  <c r="O27" i="6"/>
  <c r="Z14" i="6"/>
  <c r="J14" i="6"/>
  <c r="L9" i="6"/>
  <c r="S8" i="6"/>
  <c r="L8" i="6"/>
  <c r="Z7" i="6"/>
  <c r="S7" i="6"/>
  <c r="L7" i="6"/>
  <c r="S4" i="6"/>
  <c r="L4" i="6"/>
  <c r="H4" i="6"/>
  <c r="Z3" i="6"/>
  <c r="S3" i="6"/>
  <c r="L3" i="6"/>
  <c r="H3" i="6"/>
  <c r="Z2" i="6"/>
  <c r="S2" i="6"/>
  <c r="L2" i="6"/>
  <c r="D121" i="3" l="1"/>
  <c r="D120" i="3"/>
  <c r="O71" i="1"/>
  <c r="E119" i="3"/>
  <c r="E121" i="3" l="1"/>
  <c r="Z69" i="6"/>
  <c r="E120" i="3"/>
  <c r="S70" i="6"/>
  <c r="O72" i="1"/>
  <c r="V71" i="1"/>
  <c r="J24" i="5" l="1"/>
  <c r="D34" i="3"/>
  <c r="J22" i="5" l="1"/>
  <c r="K22" i="5"/>
  <c r="K6" i="5" l="1"/>
  <c r="J6" i="5"/>
  <c r="K27" i="5"/>
  <c r="J27" i="5"/>
  <c r="K24" i="5"/>
  <c r="E23" i="5"/>
  <c r="E3" i="5" s="1"/>
  <c r="D23" i="5"/>
  <c r="D3" i="5" s="1"/>
  <c r="J11" i="5"/>
  <c r="J7" i="5" l="1"/>
  <c r="B3" i="4" l="1"/>
  <c r="D38" i="3"/>
  <c r="N61" i="1" s="1"/>
  <c r="D37" i="3"/>
  <c r="D10" i="3"/>
  <c r="H2" i="6" s="1"/>
  <c r="D78" i="3"/>
  <c r="K19" i="5" s="1"/>
  <c r="K34" i="5" s="1"/>
  <c r="K35" i="5" s="1"/>
  <c r="K36" i="5" s="1"/>
  <c r="D62" i="3"/>
  <c r="J19" i="5" s="1"/>
  <c r="J34" i="5" s="1"/>
  <c r="J35" i="5" s="1"/>
  <c r="J36" i="5" s="1"/>
  <c r="E64" i="1" l="1"/>
  <c r="AA64" i="1"/>
  <c r="K37" i="5"/>
  <c r="J44" i="5"/>
  <c r="J37" i="5"/>
  <c r="E11" i="3"/>
  <c r="E12" i="3"/>
  <c r="E13" i="3"/>
  <c r="E14" i="3"/>
  <c r="E15" i="3"/>
  <c r="E16" i="3"/>
  <c r="E17" i="3"/>
  <c r="E18" i="3"/>
  <c r="E20" i="3"/>
  <c r="E21" i="3"/>
  <c r="E22" i="3"/>
  <c r="E23" i="3"/>
  <c r="E24" i="3"/>
  <c r="E31" i="3"/>
  <c r="E32" i="3"/>
  <c r="E33" i="3"/>
  <c r="E34" i="3"/>
  <c r="E39" i="3"/>
  <c r="E40" i="3"/>
  <c r="E41" i="3"/>
  <c r="E42" i="3"/>
  <c r="E44" i="3"/>
  <c r="E45" i="3"/>
  <c r="E46" i="3"/>
  <c r="E47" i="3"/>
  <c r="E48" i="3"/>
  <c r="E49" i="3"/>
  <c r="E50" i="3"/>
  <c r="E51" i="3"/>
  <c r="E53" i="3"/>
  <c r="E54" i="3"/>
  <c r="E55" i="3"/>
  <c r="E56" i="3"/>
  <c r="E58" i="3"/>
  <c r="E59" i="3"/>
  <c r="E60" i="3"/>
  <c r="E61" i="3"/>
  <c r="E63" i="3"/>
  <c r="E64" i="3"/>
  <c r="E65" i="3"/>
  <c r="E66" i="3"/>
  <c r="E67" i="3"/>
  <c r="E68" i="3"/>
  <c r="E69" i="3"/>
  <c r="E70" i="3"/>
  <c r="E71" i="3"/>
  <c r="E72" i="3"/>
  <c r="E74" i="3"/>
  <c r="E75" i="3"/>
  <c r="E76" i="3"/>
  <c r="E77" i="3"/>
  <c r="E79" i="3"/>
  <c r="E80" i="3"/>
  <c r="E81" i="3"/>
  <c r="E82" i="3"/>
  <c r="E83" i="3"/>
  <c r="E84" i="3"/>
  <c r="E85" i="3"/>
  <c r="E86" i="3"/>
  <c r="E87" i="3"/>
  <c r="E88" i="3"/>
  <c r="E90" i="3"/>
  <c r="E91" i="3"/>
  <c r="E97" i="3"/>
  <c r="E98" i="3"/>
  <c r="E99" i="3"/>
  <c r="E100" i="3"/>
  <c r="E101" i="3"/>
  <c r="E102" i="3"/>
  <c r="E103" i="3"/>
  <c r="E104" i="3"/>
  <c r="E105" i="3"/>
  <c r="E106" i="3"/>
  <c r="E108" i="3"/>
  <c r="E109" i="3"/>
  <c r="E110" i="3"/>
  <c r="E111" i="3"/>
  <c r="E112" i="3"/>
  <c r="E113" i="3"/>
  <c r="E114" i="3"/>
  <c r="E115" i="3"/>
  <c r="E116" i="3"/>
  <c r="E117" i="3"/>
  <c r="E123" i="3"/>
  <c r="E124" i="3"/>
  <c r="E125" i="3"/>
  <c r="E126" i="3"/>
  <c r="E127" i="3"/>
  <c r="E128" i="3"/>
  <c r="E129" i="3"/>
  <c r="E130" i="3"/>
  <c r="E131" i="3"/>
  <c r="E132" i="3"/>
  <c r="E134" i="3"/>
  <c r="E135" i="3"/>
  <c r="E136" i="3"/>
  <c r="E137" i="3"/>
  <c r="E138" i="3"/>
  <c r="E139" i="3"/>
  <c r="E140" i="3"/>
  <c r="E141" i="3"/>
  <c r="E142" i="3"/>
  <c r="E143" i="3"/>
  <c r="E144" i="3"/>
  <c r="R51" i="1" l="1"/>
  <c r="N51" i="1"/>
  <c r="R49" i="1"/>
  <c r="N49" i="1"/>
  <c r="R46" i="1"/>
  <c r="N46" i="1"/>
  <c r="R35" i="1"/>
  <c r="R33" i="1"/>
  <c r="R30" i="1"/>
  <c r="N35" i="1"/>
  <c r="N33" i="1"/>
  <c r="N30" i="1"/>
  <c r="Y67" i="1"/>
  <c r="G67" i="1"/>
  <c r="Y23" i="1"/>
  <c r="G23" i="1"/>
  <c r="Y64" i="1"/>
  <c r="I64" i="1"/>
  <c r="Y60" i="1"/>
  <c r="I60" i="1"/>
  <c r="Y20" i="1"/>
  <c r="I20" i="1"/>
  <c r="Y14" i="1"/>
  <c r="I14" i="1"/>
  <c r="N43" i="1"/>
  <c r="R44" i="1"/>
  <c r="N44" i="1"/>
  <c r="N45" i="1"/>
  <c r="N48" i="1"/>
  <c r="N53" i="1"/>
  <c r="N55" i="1"/>
  <c r="N54" i="1"/>
  <c r="N39" i="1"/>
  <c r="N38" i="1"/>
  <c r="N37" i="1"/>
  <c r="N32" i="1"/>
  <c r="N29" i="1"/>
  <c r="R28" i="1"/>
  <c r="N28" i="1"/>
  <c r="N27" i="1"/>
  <c r="K77" i="1"/>
  <c r="K9" i="1"/>
  <c r="Y76" i="1"/>
  <c r="R76" i="1"/>
  <c r="K76" i="1"/>
  <c r="AC62" i="1"/>
  <c r="E62" i="1"/>
  <c r="AC60" i="1"/>
  <c r="E60" i="1"/>
  <c r="AC14" i="1"/>
  <c r="AC16" i="1"/>
  <c r="E16" i="1"/>
  <c r="E14" i="1"/>
  <c r="R8" i="1"/>
  <c r="K8" i="1"/>
  <c r="Y7" i="1"/>
  <c r="R7" i="1"/>
  <c r="K7" i="1"/>
  <c r="Y3" i="1"/>
  <c r="R4" i="1"/>
  <c r="R3" i="1"/>
  <c r="R2" i="1"/>
  <c r="K4" i="1"/>
  <c r="K3" i="1"/>
  <c r="K2" i="1"/>
  <c r="G4" i="1"/>
  <c r="G3" i="1"/>
  <c r="D93" i="3" l="1"/>
  <c r="E93" i="3" s="1"/>
  <c r="D92" i="3"/>
  <c r="E78" i="3"/>
  <c r="E62" i="3"/>
  <c r="D36" i="3"/>
  <c r="E18" i="1" s="1"/>
  <c r="D35" i="3"/>
  <c r="E35" i="3" s="1"/>
  <c r="E92" i="3" l="1"/>
  <c r="D94" i="3"/>
  <c r="E94" i="3" s="1"/>
  <c r="AC18" i="1"/>
  <c r="E37" i="3"/>
  <c r="E38" i="3"/>
  <c r="E20" i="1"/>
  <c r="E36" i="3"/>
  <c r="E26" i="3" l="1"/>
  <c r="E25" i="3"/>
  <c r="E27" i="3"/>
  <c r="E10" i="3"/>
  <c r="E28" i="3" l="1"/>
  <c r="J26" i="5"/>
  <c r="J28" i="5" s="1"/>
  <c r="J16" i="5"/>
  <c r="E29" i="3"/>
  <c r="G2" i="1"/>
  <c r="V91" i="1"/>
  <c r="N94" i="1"/>
  <c r="N91" i="1"/>
  <c r="J94" i="1"/>
  <c r="J91" i="1"/>
  <c r="AB91" i="1"/>
  <c r="E94" i="1" l="1"/>
  <c r="E91" i="1"/>
  <c r="AD91" i="1"/>
  <c r="AA20" i="1"/>
  <c r="N67" i="1" s="1"/>
  <c r="J32" i="5" l="1"/>
  <c r="K26" i="5"/>
  <c r="J30" i="5" l="1"/>
  <c r="J40" i="5" s="1"/>
  <c r="K28" i="5"/>
  <c r="J39" i="5" l="1"/>
  <c r="J31" i="5"/>
  <c r="K40" i="5"/>
  <c r="K39" i="5"/>
  <c r="J43" i="5" l="1"/>
  <c r="J42" i="5"/>
  <c r="D95" i="3" s="1"/>
  <c r="E9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Kizildagli-Sattler</author>
  </authors>
  <commentList>
    <comment ref="B31" authorId="0" shapeId="0" xr:uid="{A2DEDB02-5FFE-4024-ACA6-4DD1DDAEF11C}">
      <text>
        <r>
          <rPr>
            <b/>
            <sz val="9"/>
            <color indexed="81"/>
            <rFont val="Tahoma"/>
            <family val="2"/>
          </rPr>
          <t>min 17 / max 47</t>
        </r>
      </text>
    </comment>
    <comment ref="B33" authorId="0" shapeId="0" xr:uid="{D09E2455-2316-4367-93FF-3E91EFA0E10C}">
      <text>
        <r>
          <rPr>
            <b/>
            <sz val="9"/>
            <color indexed="81"/>
            <rFont val="Tahoma"/>
            <family val="2"/>
          </rPr>
          <t>min 21 / max 66</t>
        </r>
      </text>
    </comment>
    <comment ref="B36" authorId="0" shapeId="0" xr:uid="{6C18AF8A-CBB0-4BB8-A682-358563FC6A15}">
      <text>
        <r>
          <rPr>
            <b/>
            <sz val="9"/>
            <color indexed="81"/>
            <rFont val="Tahoma"/>
            <family val="2"/>
          </rPr>
          <t>min 150mm / max 120mm</t>
        </r>
      </text>
    </comment>
    <comment ref="B38" authorId="0" shapeId="0" xr:uid="{3C41F4F6-77B1-45FC-9662-9762577EBD05}">
      <text>
        <r>
          <rPr>
            <b/>
            <sz val="9"/>
            <color indexed="81"/>
            <rFont val="Tahoma"/>
            <family val="2"/>
          </rPr>
          <t>min 385mm / max 340mm</t>
        </r>
      </text>
    </comment>
    <comment ref="B39" authorId="0" shapeId="0" xr:uid="{BB1DB325-970E-4C48-BAC2-EBD0EBC5F289}">
      <text/>
    </comment>
    <comment ref="B44" authorId="0" shapeId="0" xr:uid="{B50E0337-D069-4587-A264-3407B2D6563F}">
      <text>
        <r>
          <rPr>
            <b/>
            <sz val="9"/>
            <color indexed="81"/>
            <rFont val="Tahoma"/>
            <family val="2"/>
          </rPr>
          <t>min -0.2 / max -6.4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6" authorId="0" shapeId="0" xr:uid="{3FD6296A-A530-42C4-9D38-90BABE3F7BAD}">
      <text>
        <r>
          <rPr>
            <b/>
            <sz val="9"/>
            <color indexed="81"/>
            <rFont val="Tahoma"/>
            <family val="2"/>
          </rPr>
          <t>min -1.0 / mas -2.0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8" authorId="0" shapeId="0" xr:uid="{FA9F5CE8-7EE4-485C-988B-CDB4C8F17D73}">
      <text>
        <r>
          <rPr>
            <sz val="9"/>
            <color indexed="81"/>
            <rFont val="Tahoma"/>
            <family val="2"/>
          </rPr>
          <t xml:space="preserve">0mm to 28.5mm
</t>
        </r>
      </text>
    </comment>
    <comment ref="B50" authorId="0" shapeId="0" xr:uid="{1613A538-941A-4A1A-8A7D-B5EBFC547B5B}">
      <text>
        <r>
          <rPr>
            <b/>
            <sz val="9"/>
            <color indexed="81"/>
            <rFont val="Tahoma"/>
            <family val="2"/>
          </rPr>
          <t>0mm to 6.5mm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Kizildagli-Sattler</author>
  </authors>
  <commentList>
    <comment ref="I4" authorId="0" shapeId="0" xr:uid="{1F8EAFF4-2B2E-4E4C-846D-C35ECFD83AA9}">
      <text>
        <r>
          <rPr>
            <b/>
            <sz val="9"/>
            <color indexed="81"/>
            <rFont val="Tahoma"/>
            <family val="2"/>
          </rPr>
          <t>from Canopy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DEBABFF9-EFAE-4E9E-A0F5-970E821C38A9}">
      <text>
        <r>
          <rPr>
            <b/>
            <sz val="9"/>
            <color indexed="81"/>
            <rFont val="Tahoma"/>
            <family val="2"/>
          </rPr>
          <t>DavidGentle CAD
middle of the wheel</t>
        </r>
      </text>
    </comment>
    <comment ref="I12" authorId="0" shapeId="0" xr:uid="{8F081919-D1F3-4D0A-9B69-6CDE4EA412E9}">
      <text>
        <r>
          <rPr>
            <b/>
            <sz val="9"/>
            <color indexed="81"/>
            <rFont val="Tahoma"/>
            <family val="2"/>
          </rPr>
          <t>Riccardo's measurement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 xr:uid="{F77CCE9A-1F81-4A9A-8EB1-DF7DAC03C425}">
      <text>
        <r>
          <rPr>
            <b/>
            <sz val="9"/>
            <color indexed="81"/>
            <rFont val="Tahoma"/>
            <family val="2"/>
          </rPr>
          <t>from Ginetta manual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<sst xmlns="http://schemas.openxmlformats.org/spreadsheetml/2006/main" count="1461" uniqueCount="512">
  <si>
    <t>Date</t>
  </si>
  <si>
    <t>Circuit</t>
  </si>
  <si>
    <t>Chassis</t>
  </si>
  <si>
    <t>Chassis Mass</t>
  </si>
  <si>
    <t>Event</t>
  </si>
  <si>
    <t>Driver</t>
  </si>
  <si>
    <t>Driver Mass</t>
  </si>
  <si>
    <t>Issue</t>
  </si>
  <si>
    <t>FRONT AERO</t>
  </si>
  <si>
    <t>FRONT BRAKES</t>
  </si>
  <si>
    <t>FRONT SUSPENSION</t>
  </si>
  <si>
    <t>Geometry</t>
  </si>
  <si>
    <t>FARB</t>
  </si>
  <si>
    <t>Note: -ve Toe Out</t>
  </si>
  <si>
    <t>CW(Kg)</t>
  </si>
  <si>
    <t>RARB</t>
  </si>
  <si>
    <t>RR WHEEL</t>
  </si>
  <si>
    <t>Note: +ve Toe In</t>
  </si>
  <si>
    <t>REAR BRAKES</t>
  </si>
  <si>
    <t>REAR AERO</t>
  </si>
  <si>
    <t>ADDITIONAL NOTES</t>
  </si>
  <si>
    <t>FR WHEEL</t>
  </si>
  <si>
    <t>RL WHEEL</t>
  </si>
  <si>
    <t>Toe [mm]</t>
  </si>
  <si>
    <t>RRH [mm]</t>
  </si>
  <si>
    <r>
      <t>Camber [</t>
    </r>
    <r>
      <rPr>
        <sz val="10"/>
        <color indexed="8"/>
        <rFont val="Calibri"/>
        <family val="2"/>
      </rPr>
      <t>°</t>
    </r>
    <r>
      <rPr>
        <sz val="10"/>
        <color indexed="8"/>
        <rFont val="Arial"/>
        <family val="2"/>
      </rPr>
      <t>]</t>
    </r>
  </si>
  <si>
    <t>Camber [°]</t>
  </si>
  <si>
    <t>FRH [mm]</t>
  </si>
  <si>
    <t>DropHeight</t>
  </si>
  <si>
    <t>Extra</t>
  </si>
  <si>
    <t>standard</t>
  </si>
  <si>
    <t>none</t>
  </si>
  <si>
    <t>DropHeight [mm]</t>
  </si>
  <si>
    <r>
      <t>Wing [</t>
    </r>
    <r>
      <rPr>
        <sz val="10"/>
        <color indexed="8"/>
        <rFont val="Calibri"/>
        <family val="2"/>
      </rPr>
      <t>°</t>
    </r>
    <r>
      <rPr>
        <sz val="10"/>
        <color indexed="8"/>
        <rFont val="Arial"/>
        <family val="2"/>
      </rPr>
      <t>]</t>
    </r>
  </si>
  <si>
    <t>50/27</t>
  </si>
  <si>
    <t>shims [mm]</t>
  </si>
  <si>
    <t>pushrod [mm]</t>
  </si>
  <si>
    <t>Position</t>
  </si>
  <si>
    <t>Gaps droop / Gnd</t>
  </si>
  <si>
    <t>Side Spring</t>
  </si>
  <si>
    <t>Corner Bump Rubber</t>
  </si>
  <si>
    <t>REAR SUSPENSION</t>
  </si>
  <si>
    <t>2x01119S-61 Med</t>
  </si>
  <si>
    <t>3/3</t>
  </si>
  <si>
    <t>Wing Gurney [mm]</t>
  </si>
  <si>
    <t>Rear Deck Gurney</t>
  </si>
  <si>
    <t>Dive Planes</t>
  </si>
  <si>
    <t>WEIGHT</t>
  </si>
  <si>
    <t>Battery</t>
  </si>
  <si>
    <t>POWERTRAIN</t>
  </si>
  <si>
    <t>Ohlins TX 2 way</t>
  </si>
  <si>
    <t>Total mass [Kg]</t>
  </si>
  <si>
    <t>CE</t>
  </si>
  <si>
    <t>RE</t>
  </si>
  <si>
    <t>#1 mechanic</t>
  </si>
  <si>
    <t>ADR</t>
  </si>
  <si>
    <t>Upper Heyford</t>
  </si>
  <si>
    <t>01</t>
  </si>
  <si>
    <t>yes</t>
  </si>
  <si>
    <t>FL WHEEL</t>
  </si>
  <si>
    <t>Rake</t>
  </si>
  <si>
    <t>hole 6</t>
  </si>
  <si>
    <t>Bump</t>
  </si>
  <si>
    <t>Rebound</t>
  </si>
  <si>
    <t>Dampers</t>
  </si>
  <si>
    <t>Spring rate converter</t>
  </si>
  <si>
    <t>lb/in</t>
  </si>
  <si>
    <t>N/mm</t>
  </si>
  <si>
    <t>RH change calc.</t>
  </si>
  <si>
    <t>mm</t>
  </si>
  <si>
    <t>Front</t>
  </si>
  <si>
    <t>Flats</t>
  </si>
  <si>
    <t>Rear</t>
  </si>
  <si>
    <t>Toe change calc.</t>
  </si>
  <si>
    <t>RH_R / Toe</t>
  </si>
  <si>
    <t>d(RH)mm</t>
  </si>
  <si>
    <t>d[REAR TOE]</t>
  </si>
  <si>
    <t>d(toe) mm</t>
  </si>
  <si>
    <t>REAR CAMBER per shim</t>
  </si>
  <si>
    <t>deg</t>
  </si>
  <si>
    <t>d[Rear camber]</t>
  </si>
  <si>
    <t>Rear camber/toe relationship</t>
  </si>
  <si>
    <t>d[toe]</t>
  </si>
  <si>
    <t>d[Camber]</t>
  </si>
  <si>
    <t>shim [mm]</t>
  </si>
  <si>
    <r>
      <t>DevBot</t>
    </r>
    <r>
      <rPr>
        <sz val="10"/>
        <rFont val="Eras Bold ITC"/>
        <family val="2"/>
      </rPr>
      <t>v2</t>
    </r>
  </si>
  <si>
    <t>Foot Plate</t>
  </si>
  <si>
    <t>Diffuser Strake</t>
  </si>
  <si>
    <t>Barge Board</t>
  </si>
  <si>
    <t>Splitter Strake</t>
  </si>
  <si>
    <t>1/4 turns</t>
  </si>
  <si>
    <t>for Canopy</t>
  </si>
  <si>
    <t>1/1</t>
  </si>
  <si>
    <t>2/2</t>
  </si>
  <si>
    <t>4/4</t>
  </si>
  <si>
    <t>5/5</t>
  </si>
  <si>
    <t>6/6</t>
  </si>
  <si>
    <t>DB01</t>
  </si>
  <si>
    <t>DB02</t>
  </si>
  <si>
    <t>DB03</t>
  </si>
  <si>
    <t>1 x 01193-81</t>
  </si>
  <si>
    <t>Endless RCP11</t>
  </si>
  <si>
    <t>Alcon 10049/50</t>
  </si>
  <si>
    <t>Alcon CAR8949Y/ZG</t>
  </si>
  <si>
    <t>160616AB15174A</t>
  </si>
  <si>
    <t>d[Toe] mm</t>
  </si>
  <si>
    <t>40mm (300 Nm/rad)</t>
  </si>
  <si>
    <t>Monteblanco</t>
  </si>
  <si>
    <t>New York</t>
  </si>
  <si>
    <t>Berlin</t>
  </si>
  <si>
    <t>Millbrook</t>
  </si>
  <si>
    <t>Brungtingthorpe</t>
  </si>
  <si>
    <t>Race engineer</t>
  </si>
  <si>
    <t>Chief engineer</t>
  </si>
  <si>
    <t>Driver weight [Kg]</t>
  </si>
  <si>
    <t>FL corner [Kg]</t>
  </si>
  <si>
    <t>FR corner [Kg]</t>
  </si>
  <si>
    <t>RL corner [Kg]</t>
  </si>
  <si>
    <t>Total mass with tyres, no driver [Kg}</t>
  </si>
  <si>
    <t>Total mass with tyres &amp; driver [Kg]</t>
  </si>
  <si>
    <t>Weight distribution [%]</t>
  </si>
  <si>
    <t>Cross weight [%]</t>
  </si>
  <si>
    <t>FL camber shim [mm]</t>
  </si>
  <si>
    <t>FR camber shim [mm]</t>
  </si>
  <si>
    <t>RL camber shim [mm]</t>
  </si>
  <si>
    <t>RR camber shim [mm]</t>
  </si>
  <si>
    <t>FL toe [mm]</t>
  </si>
  <si>
    <t>FR toe [mm]</t>
  </si>
  <si>
    <t>RL toe [mm]</t>
  </si>
  <si>
    <t>RR toe [mm]</t>
  </si>
  <si>
    <t>FL ride height [mm]</t>
  </si>
  <si>
    <t>FR ride height [mm]</t>
  </si>
  <si>
    <t>RL ride height [mm]</t>
  </si>
  <si>
    <t>RR ride height [mm]</t>
  </si>
  <si>
    <t>FL drop height [mm]</t>
  </si>
  <si>
    <t>FR drop height [mm]</t>
  </si>
  <si>
    <t>FL pushrod length [mm]</t>
  </si>
  <si>
    <t>FR pushrod length [mm]</t>
  </si>
  <si>
    <t>RL pushrod length [mm]</t>
  </si>
  <si>
    <t>RR pushrid length [mm]</t>
  </si>
  <si>
    <t>FR camber [°]</t>
  </si>
  <si>
    <t>RL camber [°]</t>
  </si>
  <si>
    <t>RR camber [°]</t>
  </si>
  <si>
    <t>Rake [mm]</t>
  </si>
  <si>
    <t>REAR drop height [mm]</t>
  </si>
  <si>
    <t>Front suspension spec</t>
  </si>
  <si>
    <t>FARB position</t>
  </si>
  <si>
    <t>Front side spring [lbs/in]</t>
  </si>
  <si>
    <t>Front side spring [N/mm]</t>
  </si>
  <si>
    <t>FL bump rubber gap @ droop [mm]</t>
  </si>
  <si>
    <t>FR bump rubber gap @ droop [mm]</t>
  </si>
  <si>
    <t>FL bump rubber gap @ ground [mm]</t>
  </si>
  <si>
    <t>FR bump rubber gap @ ground [mm]</t>
  </si>
  <si>
    <t>Front damper spec</t>
  </si>
  <si>
    <t>Front rebound click (max 25)</t>
  </si>
  <si>
    <t>Front bump click (max 25)</t>
  </si>
  <si>
    <t>Rear suspension spec</t>
  </si>
  <si>
    <t>RARB position</t>
  </si>
  <si>
    <t>Rearside spring [lbs/in]</t>
  </si>
  <si>
    <t>Front corner bump rubber</t>
  </si>
  <si>
    <t>Rear corner bump rubber</t>
  </si>
  <si>
    <t>RL bump rubber gap @ droop [mm]</t>
  </si>
  <si>
    <t>RR bump rubber gap @ droop [mm]</t>
  </si>
  <si>
    <t>RL bump rubber gap @ ground [mm]</t>
  </si>
  <si>
    <t>RR bump rubber gap @ ground [mm]</t>
  </si>
  <si>
    <t>Rear damper spec</t>
  </si>
  <si>
    <t>Rear bump click (max 25)</t>
  </si>
  <si>
    <t>Rear rebound click (max 25)</t>
  </si>
  <si>
    <t>FRH EOS @ Vmax [mm]</t>
  </si>
  <si>
    <t>Mechanical balance [%]</t>
  </si>
  <si>
    <t>Dive planes</t>
  </si>
  <si>
    <t>Foot plate</t>
  </si>
  <si>
    <t>Barge board</t>
  </si>
  <si>
    <t>Splitter  strake</t>
  </si>
  <si>
    <t>Diffuser strake</t>
  </si>
  <si>
    <r>
      <t>Wing  [</t>
    </r>
    <r>
      <rPr>
        <sz val="10"/>
        <rFont val="Calibri"/>
        <family val="2"/>
      </rPr>
      <t>°</t>
    </r>
    <r>
      <rPr>
        <sz val="10"/>
        <rFont val="Arial"/>
        <family val="2"/>
      </rPr>
      <t>]</t>
    </r>
  </si>
  <si>
    <t>Wing gurney [mm]</t>
  </si>
  <si>
    <t>Rear deck gurney</t>
  </si>
  <si>
    <t>Front caliper spec</t>
  </si>
  <si>
    <t>FL disc measurement [mm]</t>
  </si>
  <si>
    <t>FR disc measurement [mm]</t>
  </si>
  <si>
    <t>FL outboard pad measurement [mm]</t>
  </si>
  <si>
    <t>FL inboard pad measurement [mm]</t>
  </si>
  <si>
    <t>FR outboard pad measurement [mm]</t>
  </si>
  <si>
    <t>FR inboard pad measurement [mm]</t>
  </si>
  <si>
    <t>Front master cylinder</t>
  </si>
  <si>
    <t>Rear caliper spec</t>
  </si>
  <si>
    <t>Rear master cylinder</t>
  </si>
  <si>
    <t>RL disc measurement [mm]</t>
  </si>
  <si>
    <t>RR disc measurement [mm]</t>
  </si>
  <si>
    <t>RL outboard pad measurement [mm]</t>
  </si>
  <si>
    <t>RL inboard pad measurement [mm]</t>
  </si>
  <si>
    <t>RR outboard pad measurement [mm]</t>
  </si>
  <si>
    <t>RR inboard pad measurement [mm]</t>
  </si>
  <si>
    <t>FL e-motor</t>
  </si>
  <si>
    <t>FR e-motor</t>
  </si>
  <si>
    <t>RL e-motor</t>
  </si>
  <si>
    <t>RR e-motor</t>
  </si>
  <si>
    <t>FL inverter</t>
  </si>
  <si>
    <t>FR inverter</t>
  </si>
  <si>
    <t>RL inverter</t>
  </si>
  <si>
    <t>RR inverter</t>
  </si>
  <si>
    <t>Front gearbox</t>
  </si>
  <si>
    <t>Rear gearbox</t>
  </si>
  <si>
    <t>GENERAL</t>
  </si>
  <si>
    <t>RIDE HEIGHT</t>
  </si>
  <si>
    <t>CAMBER</t>
  </si>
  <si>
    <t>TOE</t>
  </si>
  <si>
    <t>CALCULATION</t>
  </si>
  <si>
    <t>Front kheave [N/mm]</t>
  </si>
  <si>
    <t>Rear kheave [N/mm]</t>
  </si>
  <si>
    <t>Front kroll [kN/rad]</t>
  </si>
  <si>
    <t>Rear kroll [kN/rad]</t>
  </si>
  <si>
    <t>AERO</t>
  </si>
  <si>
    <t>FR spring pre-load length @ droop [mm]</t>
  </si>
  <si>
    <t>FL spring pre-load length @ droop [mm]</t>
  </si>
  <si>
    <t>RL spring pre-load length @ droop [mm]</t>
  </si>
  <si>
    <t>RR spring pre-load length @ droop [mm]</t>
  </si>
  <si>
    <t>RRH EOS @ Vmax [mm]</t>
  </si>
  <si>
    <r>
      <t>FL camber [</t>
    </r>
    <r>
      <rPr>
        <sz val="10"/>
        <color rgb="FFFF0000"/>
        <rFont val="Calibri"/>
        <family val="2"/>
      </rPr>
      <t>°</t>
    </r>
    <r>
      <rPr>
        <sz val="10"/>
        <color rgb="FFFF0000"/>
        <rFont val="Arial"/>
        <family val="2"/>
      </rPr>
      <t>]</t>
    </r>
  </si>
  <si>
    <t>RR corner [Kg]</t>
  </si>
  <si>
    <t>02</t>
  </si>
  <si>
    <t>03</t>
  </si>
  <si>
    <t>04</t>
  </si>
  <si>
    <t>05</t>
  </si>
  <si>
    <t>06</t>
  </si>
  <si>
    <t>Alan Cocks</t>
  </si>
  <si>
    <t>Ollie Walsh</t>
  </si>
  <si>
    <t>Matt Smith</t>
  </si>
  <si>
    <t>Mike Dos Santos</t>
  </si>
  <si>
    <t>Reece Smith</t>
  </si>
  <si>
    <t>Tim Philips</t>
  </si>
  <si>
    <t>Brodie Deller</t>
  </si>
  <si>
    <t>Lee Calcutt</t>
  </si>
  <si>
    <t>Paul Bellringer</t>
  </si>
  <si>
    <t>Delta setup wheels / tyres</t>
  </si>
  <si>
    <t>Lucas di Grassi</t>
  </si>
  <si>
    <t>20mm (200 Nm/rad)</t>
  </si>
  <si>
    <t>disconnected</t>
  </si>
  <si>
    <t>Front disc spec</t>
  </si>
  <si>
    <t>Front pad spec</t>
  </si>
  <si>
    <t>Rear disc spec</t>
  </si>
  <si>
    <t>Rear pad spec</t>
  </si>
  <si>
    <t>DATABASE</t>
  </si>
  <si>
    <t>issue:</t>
  </si>
  <si>
    <t xml:space="preserve"> </t>
  </si>
  <si>
    <t>Splitter strake</t>
  </si>
  <si>
    <t>Hole</t>
  </si>
  <si>
    <t>hole 1</t>
  </si>
  <si>
    <t>hole 2</t>
  </si>
  <si>
    <t>hole 3</t>
  </si>
  <si>
    <t>hole 4</t>
  </si>
  <si>
    <t>hole 5</t>
  </si>
  <si>
    <t>hole 7</t>
  </si>
  <si>
    <t>hole 8</t>
  </si>
  <si>
    <t>hole 9</t>
  </si>
  <si>
    <t>hole 10</t>
  </si>
  <si>
    <t>Camber</t>
  </si>
  <si>
    <t>140716AB15125A</t>
  </si>
  <si>
    <t>210716AB15054A</t>
  </si>
  <si>
    <t>250516AB12123A</t>
  </si>
  <si>
    <t>280716AB12304A</t>
  </si>
  <si>
    <t>RR01008813</t>
  </si>
  <si>
    <t>RRU-003</t>
  </si>
  <si>
    <t>RRU-012</t>
  </si>
  <si>
    <t>RRU-200 0114382</t>
  </si>
  <si>
    <t>RRU-200 0114386</t>
  </si>
  <si>
    <t>256 DZ</t>
  </si>
  <si>
    <t>257 DZ</t>
  </si>
  <si>
    <t>258 DZ</t>
  </si>
  <si>
    <t>259 DZ</t>
  </si>
  <si>
    <t>260 DZ</t>
  </si>
  <si>
    <t>261 DZ</t>
  </si>
  <si>
    <t>262 DZ</t>
  </si>
  <si>
    <t>263 DZ</t>
  </si>
  <si>
    <t>270 DZ</t>
  </si>
  <si>
    <t>271 DZ</t>
  </si>
  <si>
    <t>273 DZ</t>
  </si>
  <si>
    <t>274 DZ</t>
  </si>
  <si>
    <t>276 DZ</t>
  </si>
  <si>
    <t>280 DZ</t>
  </si>
  <si>
    <t>281 DZ</t>
  </si>
  <si>
    <t>283 DZ</t>
  </si>
  <si>
    <t>285 DZ</t>
  </si>
  <si>
    <t>286 DZ</t>
  </si>
  <si>
    <t>287 DZ</t>
  </si>
  <si>
    <t>288 DZ</t>
  </si>
  <si>
    <t>289 DZ</t>
  </si>
  <si>
    <t>369 DZR</t>
  </si>
  <si>
    <t>370 DZR</t>
  </si>
  <si>
    <t>371 DZR</t>
  </si>
  <si>
    <t>372  DZR</t>
  </si>
  <si>
    <t>375 DZR</t>
  </si>
  <si>
    <t>399 DZR</t>
  </si>
  <si>
    <t>400  DZR</t>
  </si>
  <si>
    <t>401 DZR</t>
  </si>
  <si>
    <t>402 DZR</t>
  </si>
  <si>
    <t>403 DZR</t>
  </si>
  <si>
    <t>404 DZR</t>
  </si>
  <si>
    <t>405 DZR</t>
  </si>
  <si>
    <t>406 DZR</t>
  </si>
  <si>
    <t>407 DZR</t>
  </si>
  <si>
    <t>408 DZR</t>
  </si>
  <si>
    <t>CRB-003</t>
  </si>
  <si>
    <t>CRB-005</t>
  </si>
  <si>
    <t>CRB-010</t>
  </si>
  <si>
    <t>CRB-011</t>
  </si>
  <si>
    <t>CRB-013</t>
  </si>
  <si>
    <t>CRB-A1-001</t>
  </si>
  <si>
    <t>CRB-A1-002</t>
  </si>
  <si>
    <t>CRB-A1-004</t>
  </si>
  <si>
    <t>CRB-A1-006</t>
  </si>
  <si>
    <t>CRB-A1-007</t>
  </si>
  <si>
    <t>CRB-A1-008</t>
  </si>
  <si>
    <t>CRB-A2-009</t>
  </si>
  <si>
    <t>CRB-A2-014</t>
  </si>
  <si>
    <t>CRB-A2-015</t>
  </si>
  <si>
    <t>CRB-A2-016</t>
  </si>
  <si>
    <t>CRB-A2-017</t>
  </si>
  <si>
    <t>CRB-A2-019</t>
  </si>
  <si>
    <t>CRB-A2-020</t>
  </si>
  <si>
    <t>CRB-A2-022</t>
  </si>
  <si>
    <t>CRB-A2-024</t>
  </si>
  <si>
    <t>CRB-A2-025</t>
  </si>
  <si>
    <t>CRB-B1-027 (build 02) - (300Nm)</t>
  </si>
  <si>
    <t>CRB-B1-028 (build 02) - (300Nm)</t>
  </si>
  <si>
    <t>CRB-B1-030 (build 01) - (300Nm)</t>
  </si>
  <si>
    <t>CRB-B1-031 (build 04) - (300Nm)</t>
  </si>
  <si>
    <t>CRB-B2-029A – Build 2</t>
  </si>
  <si>
    <t>CRB-B2-036 – Build 2</t>
  </si>
  <si>
    <t>CRB-B2-038 – Build 1</t>
  </si>
  <si>
    <t>CRB-B2-040 – Build 1</t>
  </si>
  <si>
    <t>CRB-B2-051</t>
  </si>
  <si>
    <t>CRB-B2-052</t>
  </si>
  <si>
    <t>CRB-B2-053</t>
  </si>
  <si>
    <t>CRB-B2-054</t>
  </si>
  <si>
    <t>CRB-B2-055</t>
  </si>
  <si>
    <t>CRB-B2-056</t>
  </si>
  <si>
    <t>CRB-B2-057</t>
  </si>
  <si>
    <t>CRB-B2-058</t>
  </si>
  <si>
    <t>CRB-B2-059</t>
  </si>
  <si>
    <t>CRB-B2-060</t>
  </si>
  <si>
    <t>CRB-B2-061</t>
  </si>
  <si>
    <t>CRB-B2-062</t>
  </si>
  <si>
    <t>CRB-B2-063</t>
  </si>
  <si>
    <t>Disc</t>
  </si>
  <si>
    <t>Pad</t>
  </si>
  <si>
    <t>34 [new]</t>
  </si>
  <si>
    <t>29 [new]</t>
  </si>
  <si>
    <t>Toe</t>
  </si>
  <si>
    <t>-3.5 OUT</t>
  </si>
  <si>
    <t>-4.0 OUT</t>
  </si>
  <si>
    <t>-3.0 OUT</t>
  </si>
  <si>
    <t>-2.5 OUT</t>
  </si>
  <si>
    <t>-2.0 OUT</t>
  </si>
  <si>
    <t>-1.5 OUT</t>
  </si>
  <si>
    <t>-0.5 OUT</t>
  </si>
  <si>
    <t>-1.0 OUT</t>
  </si>
  <si>
    <t>0.5 IN</t>
  </si>
  <si>
    <t>1.0 IN</t>
  </si>
  <si>
    <t>1.5 IN</t>
  </si>
  <si>
    <t>2.0 IN</t>
  </si>
  <si>
    <t>2.5 IN</t>
  </si>
  <si>
    <t>3.0 IN</t>
  </si>
  <si>
    <t>3.5 IN</t>
  </si>
  <si>
    <t>4.0 IN</t>
  </si>
  <si>
    <t>Total heave stifness [N/mm]</t>
  </si>
  <si>
    <t>measured</t>
  </si>
  <si>
    <t xml:space="preserve">measured </t>
  </si>
  <si>
    <t>FL gap @ droop</t>
  </si>
  <si>
    <t>FL gap @ ground</t>
  </si>
  <si>
    <t>FR gap @ droop</t>
  </si>
  <si>
    <t>FR gap @ ground</t>
  </si>
  <si>
    <t>@ droop</t>
  </si>
  <si>
    <t>MASTER</t>
  </si>
  <si>
    <t>delete mechanic's notes</t>
  </si>
  <si>
    <t>clear master setup</t>
  </si>
  <si>
    <t>SETUP</t>
  </si>
  <si>
    <t>SETUP MASTER &amp; OVERVIEW</t>
  </si>
  <si>
    <t>copy last setup log into master</t>
  </si>
  <si>
    <r>
      <t xml:space="preserve">password mechanics sheet: </t>
    </r>
    <r>
      <rPr>
        <sz val="10"/>
        <color rgb="FF7030A0"/>
        <rFont val="Arial"/>
        <family val="2"/>
      </rPr>
      <t>banbury</t>
    </r>
  </si>
  <si>
    <t>default constants</t>
  </si>
  <si>
    <t xml:space="preserve">FL corner </t>
  </si>
  <si>
    <t>FR corner</t>
  </si>
  <si>
    <t>RL corner</t>
  </si>
  <si>
    <t>RR corner</t>
  </si>
  <si>
    <t>Danny King</t>
  </si>
  <si>
    <t>soft-soft</t>
  </si>
  <si>
    <t>soft-medium</t>
  </si>
  <si>
    <t>medium-medium</t>
  </si>
  <si>
    <t>medium-stiff</t>
  </si>
  <si>
    <t>stiff-stiff</t>
  </si>
  <si>
    <t>RL gap @ droop</t>
  </si>
  <si>
    <t>RL gap @ ground</t>
  </si>
  <si>
    <t>RR gap @ droop</t>
  </si>
  <si>
    <t>RR gap @ ground</t>
  </si>
  <si>
    <t>FL spring PL length</t>
  </si>
  <si>
    <t>FR spring PL length</t>
  </si>
  <si>
    <t>RL spring PL length</t>
  </si>
  <si>
    <t>RR spring PL length</t>
  </si>
  <si>
    <t>%MB</t>
  </si>
  <si>
    <t>dFZ</t>
  </si>
  <si>
    <t>FA</t>
  </si>
  <si>
    <t>RA</t>
  </si>
  <si>
    <t>roll centre height</t>
  </si>
  <si>
    <t>unspring mass</t>
  </si>
  <si>
    <t>dFz usm</t>
  </si>
  <si>
    <t>N</t>
  </si>
  <si>
    <t>tyre rate</t>
  </si>
  <si>
    <t>track</t>
  </si>
  <si>
    <t>track average</t>
  </si>
  <si>
    <t>mass upright</t>
  </si>
  <si>
    <t>kg</t>
  </si>
  <si>
    <t>cgh_usm</t>
  </si>
  <si>
    <t>CG of the unsprung mass</t>
  </si>
  <si>
    <t>acc lat max</t>
  </si>
  <si>
    <t>g</t>
  </si>
  <si>
    <t>m/s^2</t>
  </si>
  <si>
    <t>car mass</t>
  </si>
  <si>
    <t>side spring ratio</t>
  </si>
  <si>
    <t>arb ratio</t>
  </si>
  <si>
    <t>front spring</t>
  </si>
  <si>
    <t>dfz Chassis</t>
  </si>
  <si>
    <t>dfZ Chassis total</t>
  </si>
  <si>
    <t>cARB</t>
  </si>
  <si>
    <t>bar rates</t>
  </si>
  <si>
    <t>%cR</t>
  </si>
  <si>
    <t>cR* inst</t>
  </si>
  <si>
    <t xml:space="preserve">installation stiffness </t>
  </si>
  <si>
    <t>cR** comb</t>
  </si>
  <si>
    <t>mass</t>
  </si>
  <si>
    <t>per axle with unsprung mass</t>
  </si>
  <si>
    <t>dFz Chassis</t>
  </si>
  <si>
    <t>cR</t>
  </si>
  <si>
    <t>Nm/deg</t>
  </si>
  <si>
    <t>dFz Chassis Total</t>
  </si>
  <si>
    <t>dFz Total</t>
  </si>
  <si>
    <t>dFz control</t>
  </si>
  <si>
    <t>cR* ideal</t>
  </si>
  <si>
    <t>cR* comb</t>
  </si>
  <si>
    <t>Nm/°</t>
  </si>
  <si>
    <t xml:space="preserve">%cR </t>
  </si>
  <si>
    <t>dFz</t>
  </si>
  <si>
    <t>dFz suspension</t>
  </si>
  <si>
    <t>%</t>
  </si>
  <si>
    <t>cR_Total</t>
  </si>
  <si>
    <t>FARB wheel-rates</t>
  </si>
  <si>
    <t>RARB wheel-rates</t>
  </si>
  <si>
    <t>89</t>
  </si>
  <si>
    <t>109</t>
  </si>
  <si>
    <t>135</t>
  </si>
  <si>
    <t>171</t>
  </si>
  <si>
    <t>222</t>
  </si>
  <si>
    <t>298</t>
  </si>
  <si>
    <t>disconnect</t>
  </si>
  <si>
    <t>centre of gravity height</t>
  </si>
  <si>
    <t>avg RollCentreHeight</t>
  </si>
  <si>
    <t>Rear side spring [lbs/in]</t>
  </si>
  <si>
    <t>Rear side spring [N/mm]</t>
  </si>
  <si>
    <t>START SETUP</t>
  </si>
  <si>
    <t>Brake Bias</t>
  </si>
  <si>
    <t>Brake Bias Spacer Arrangement</t>
  </si>
  <si>
    <r>
      <t xml:space="preserve">Ft Master Cylinder </t>
    </r>
    <r>
      <rPr>
        <sz val="10"/>
        <color indexed="8"/>
        <rFont val="Calibri"/>
        <family val="2"/>
      </rPr>
      <t>Ø</t>
    </r>
  </si>
  <si>
    <r>
      <t xml:space="preserve">Rr Master Cylinder </t>
    </r>
    <r>
      <rPr>
        <sz val="10"/>
        <color indexed="8"/>
        <rFont val="Calibri"/>
        <family val="2"/>
      </rPr>
      <t>Ø</t>
    </r>
  </si>
  <si>
    <t>7/8" (22.225mm)</t>
  </si>
  <si>
    <t>13/16" (20.625mm)</t>
  </si>
  <si>
    <t>Brake Bias %F</t>
  </si>
  <si>
    <t>Brake Bias Spacer Arr't</t>
  </si>
  <si>
    <t>Spacer Reference</t>
  </si>
  <si>
    <t>(Set 3)</t>
  </si>
  <si>
    <t>(Set 2)</t>
  </si>
  <si>
    <t>(Set 1)</t>
  </si>
  <si>
    <t>(-STD-)</t>
  </si>
  <si>
    <t>11.3F-5.5R</t>
  </si>
  <si>
    <t>10.3F-6.5R</t>
  </si>
  <si>
    <t>9.3F-7.5R</t>
  </si>
  <si>
    <t>8.4F-8.4R</t>
  </si>
  <si>
    <t>7.5F-9.3R</t>
  </si>
  <si>
    <t>6.5F-10.3R</t>
  </si>
  <si>
    <t>5.5F-11.3R</t>
  </si>
  <si>
    <t>Brake Bias%F</t>
  </si>
  <si>
    <t>BIAS</t>
  </si>
  <si>
    <t>BRAKE BIAS</t>
  </si>
  <si>
    <t xml:space="preserve">Brake Bias Spacer Arr't  </t>
  </si>
  <si>
    <t xml:space="preserve">Spacer Reference  </t>
  </si>
  <si>
    <t xml:space="preserve">Brake Bias %F </t>
  </si>
  <si>
    <t>Toe Link</t>
  </si>
  <si>
    <t>Upper W/B</t>
  </si>
  <si>
    <t>Lower W/B</t>
  </si>
  <si>
    <t>Pushrod</t>
  </si>
  <si>
    <t>Build Sheet</t>
  </si>
  <si>
    <t>Setup Sheet</t>
  </si>
  <si>
    <t>I/B</t>
  </si>
  <si>
    <t>FWD</t>
  </si>
  <si>
    <t>RWD</t>
  </si>
  <si>
    <t>O/B</t>
  </si>
  <si>
    <t>I/B (MID)</t>
  </si>
  <si>
    <t>Exposed thread (mm)</t>
  </si>
  <si>
    <t>All Exposed Thread Lengths include locknut thickness!!</t>
  </si>
  <si>
    <t>DB20</t>
  </si>
  <si>
    <t>DB21</t>
  </si>
  <si>
    <t>DB22</t>
  </si>
  <si>
    <t>DB23</t>
  </si>
  <si>
    <t>DB24</t>
  </si>
  <si>
    <t>DB25</t>
  </si>
  <si>
    <t>DB26</t>
  </si>
  <si>
    <t>Will Lampitt</t>
  </si>
  <si>
    <t>Modena</t>
  </si>
  <si>
    <t>Mark Coombes</t>
  </si>
  <si>
    <t>Shelsley Walsh</t>
  </si>
  <si>
    <t>Goodwood</t>
  </si>
  <si>
    <t>Zalazone (VW)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</si>
</sst>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&quot;°&quot;"/>
    <numFmt numFmtId="165" formatCode="0.0%"/>
    <numFmt numFmtId="166" formatCode="0.0"/>
    <numFmt numFmtId="167" formatCode="0\ &quot;lbs/in&quot;"/>
    <numFmt numFmtId="168" formatCode="0\ &quot;N/mm&quot;"/>
    <numFmt numFmtId="169" formatCode="General&quot;/25&quot;"/>
    <numFmt numFmtId="170" formatCode="0.0\ "/>
    <numFmt numFmtId="171" formatCode="0&quot;/25&quot;"/>
    <numFmt numFmtId="172" formatCode="0.0&quot;%&quot;"/>
  </numFmts>
  <fonts count="4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22"/>
      <name val="Arial"/>
      <family val="2"/>
    </font>
    <font>
      <sz val="8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8"/>
      <name val="Eras Bold ITC"/>
      <family val="2"/>
    </font>
    <font>
      <sz val="10"/>
      <color indexed="8"/>
      <name val="Calibri"/>
      <family val="2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b/>
      <sz val="10"/>
      <color rgb="FFFF0000"/>
      <name val="Arial"/>
      <family val="2"/>
    </font>
    <font>
      <sz val="9"/>
      <color theme="1"/>
      <name val="Arial"/>
      <family val="2"/>
    </font>
    <font>
      <b/>
      <sz val="8"/>
      <color rgb="FFFA7D00"/>
      <name val="Calibri"/>
      <family val="2"/>
      <scheme val="minor"/>
    </font>
    <font>
      <sz val="8"/>
      <color theme="1"/>
      <name val="Arial"/>
      <family val="2"/>
    </font>
    <font>
      <sz val="10"/>
      <name val="Eras Bold ITC"/>
      <family val="2"/>
    </font>
    <font>
      <b/>
      <sz val="10"/>
      <color theme="0"/>
      <name val="Arial"/>
      <family val="2"/>
    </font>
    <font>
      <sz val="10"/>
      <color theme="3" tint="-0.499984740745262"/>
      <name val="Arial"/>
      <family val="2"/>
    </font>
    <font>
      <sz val="8"/>
      <color theme="3" tint="-0.499984740745262"/>
      <name val="Arial"/>
      <family val="2"/>
    </font>
    <font>
      <sz val="10"/>
      <name val="Calibri"/>
      <family val="2"/>
    </font>
    <font>
      <sz val="12"/>
      <name val="Eras Bold ITC"/>
      <family val="2"/>
    </font>
    <font>
      <sz val="10"/>
      <color rgb="FFFF0000"/>
      <name val="Arial"/>
      <family val="2"/>
    </font>
    <font>
      <sz val="10"/>
      <color rgb="FFFF0000"/>
      <name val="Calibri"/>
      <family val="2"/>
    </font>
    <font>
      <sz val="10"/>
      <color rgb="FF00B050"/>
      <name val="Arial"/>
      <family val="2"/>
    </font>
    <font>
      <sz val="10"/>
      <color theme="7" tint="-0.249977111117893"/>
      <name val="Arial"/>
      <family val="2"/>
    </font>
    <font>
      <sz val="10"/>
      <color rgb="FF0070C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8"/>
      <color rgb="FF000000"/>
      <name val="Calibri"/>
      <family val="2"/>
      <scheme val="minor"/>
    </font>
    <font>
      <sz val="10"/>
      <color rgb="FF7030A0"/>
      <name val="Arial"/>
      <family val="2"/>
    </font>
    <font>
      <b/>
      <sz val="10"/>
      <color rgb="FF7030A0"/>
      <name val="Abadi Extra Light"/>
      <family val="2"/>
    </font>
    <font>
      <sz val="10"/>
      <color rgb="FF7030A0"/>
      <name val="Abadi Extra Light"/>
      <family val="2"/>
    </font>
    <font>
      <sz val="14"/>
      <name val="Eras Bold ITC"/>
      <family val="2"/>
    </font>
    <font>
      <b/>
      <sz val="12"/>
      <name val="Arial"/>
      <family val="2"/>
    </font>
    <font>
      <b/>
      <sz val="16"/>
      <name val="Ebrima"/>
    </font>
    <font>
      <sz val="10"/>
      <color rgb="FF000000"/>
      <name val="Arial"/>
      <family val="2"/>
    </font>
    <font>
      <sz val="9"/>
      <color indexed="8"/>
      <name val="Arial"/>
      <family val="2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9"/>
      <color indexed="81"/>
      <name val="Tahoma"/>
      <family val="2"/>
    </font>
    <font>
      <sz val="24"/>
      <name val="Eras Bold ITC"/>
      <family val="2"/>
    </font>
    <font>
      <b/>
      <sz val="12"/>
      <color rgb="FF7030A0"/>
      <name val="Abadi Extra Light"/>
      <family val="2"/>
    </font>
    <font>
      <sz val="12"/>
      <color rgb="FF7030A0"/>
      <name val="Abadi Extra Light"/>
      <family val="2"/>
    </font>
    <font>
      <sz val="20"/>
      <color indexed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medium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FFFF00"/>
      </left>
      <right/>
      <top style="medium">
        <color rgb="FFFFFF00"/>
      </top>
      <bottom/>
      <diagonal/>
    </border>
    <border>
      <left/>
      <right/>
      <top style="medium">
        <color rgb="FFFFFF00"/>
      </top>
      <bottom/>
      <diagonal/>
    </border>
    <border>
      <left/>
      <right style="medium">
        <color rgb="FFFFFF00"/>
      </right>
      <top style="medium">
        <color rgb="FFFFFF00"/>
      </top>
      <bottom/>
      <diagonal/>
    </border>
    <border>
      <left style="thick">
        <color rgb="FFFFFF00"/>
      </left>
      <right/>
      <top style="thin">
        <color indexed="64"/>
      </top>
      <bottom/>
      <diagonal/>
    </border>
    <border>
      <left/>
      <right style="medium">
        <color rgb="FFFFFF00"/>
      </right>
      <top/>
      <bottom/>
      <diagonal/>
    </border>
    <border>
      <left style="thick">
        <color rgb="FFFFFF00"/>
      </left>
      <right/>
      <top/>
      <bottom style="thin">
        <color indexed="64"/>
      </bottom>
      <diagonal/>
    </border>
    <border>
      <left style="thick">
        <color rgb="FFFFFF00"/>
      </left>
      <right/>
      <top/>
      <bottom/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 style="medium">
        <color rgb="FFFFFF00"/>
      </right>
      <top/>
      <bottom style="thick">
        <color rgb="FFFFFF00"/>
      </bottom>
      <diagonal/>
    </border>
    <border>
      <left style="thick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thick">
        <color rgb="FF00B050"/>
      </left>
      <right/>
      <top style="thin">
        <color indexed="64"/>
      </top>
      <bottom/>
      <diagonal/>
    </border>
    <border>
      <left/>
      <right style="medium">
        <color rgb="FF00B050"/>
      </right>
      <top/>
      <bottom/>
      <diagonal/>
    </border>
    <border>
      <left style="thick">
        <color rgb="FF00B050"/>
      </left>
      <right/>
      <top/>
      <bottom style="thin">
        <color indexed="64"/>
      </bottom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medium">
        <color rgb="FF00B050"/>
      </right>
      <top/>
      <bottom style="thick">
        <color rgb="FF00B05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thick">
        <color rgb="FFFF0000"/>
      </right>
      <top style="thin">
        <color indexed="64"/>
      </top>
      <bottom/>
      <diagonal/>
    </border>
    <border>
      <left/>
      <right style="thick">
        <color rgb="FFFF0000"/>
      </right>
      <top/>
      <bottom style="thin">
        <color indexed="64"/>
      </bottom>
      <diagonal/>
    </border>
    <border>
      <left/>
      <right style="thick">
        <color rgb="FFFF0000"/>
      </right>
      <top/>
      <bottom/>
      <diagonal/>
    </border>
    <border>
      <left style="medium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rgb="FF0070C0"/>
      </right>
      <top style="thin">
        <color indexed="64"/>
      </top>
      <bottom/>
      <diagonal/>
    </border>
    <border>
      <left/>
      <right style="thick">
        <color rgb="FF0070C0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thick">
        <color indexed="64"/>
      </top>
      <bottom style="medium">
        <color auto="1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ck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ck">
        <color rgb="FFFF0000"/>
      </right>
      <top style="medium">
        <color rgb="FFFF0000"/>
      </top>
      <bottom/>
      <diagonal/>
    </border>
    <border>
      <left/>
      <right style="thick">
        <color rgb="FF0070C0"/>
      </right>
      <top style="medium">
        <color rgb="FF0070C0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FFFF00"/>
      </bottom>
      <diagonal/>
    </border>
    <border>
      <left style="thin">
        <color indexed="64"/>
      </left>
      <right/>
      <top/>
      <bottom style="thick">
        <color rgb="FF0070C0"/>
      </bottom>
      <diagonal/>
    </border>
    <border>
      <left/>
      <right style="thin">
        <color indexed="64"/>
      </right>
      <top/>
      <bottom style="thick">
        <color rgb="FFFFFF00"/>
      </bottom>
      <diagonal/>
    </border>
    <border>
      <left/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rgb="FF7F7F7F"/>
      </top>
      <bottom style="thick">
        <color indexed="64"/>
      </bottom>
      <diagonal/>
    </border>
    <border>
      <left/>
      <right style="thin">
        <color indexed="64"/>
      </right>
      <top style="thin">
        <color rgb="FF7F7F7F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00B050"/>
      </right>
      <top/>
      <bottom/>
      <diagonal/>
    </border>
  </borders>
  <cellStyleXfs count="3">
    <xf numFmtId="0" fontId="0" fillId="0" borderId="0"/>
    <xf numFmtId="0" fontId="12" fillId="5" borderId="74" applyNumberFormat="0" applyAlignment="0" applyProtection="0"/>
    <xf numFmtId="0" fontId="1" fillId="0" borderId="0"/>
  </cellStyleXfs>
  <cellXfs count="642">
    <xf numFmtId="0" fontId="0" fillId="0" borderId="0" xfId="0"/>
    <xf numFmtId="0" fontId="2" fillId="0" borderId="0" xfId="0" applyFont="1" applyFill="1"/>
    <xf numFmtId="0" fontId="3" fillId="0" borderId="2" xfId="0" applyFont="1" applyFill="1" applyBorder="1" applyAlignment="1">
      <alignment vertical="center"/>
    </xf>
    <xf numFmtId="0" fontId="3" fillId="0" borderId="2" xfId="0" applyFont="1" applyFill="1" applyBorder="1"/>
    <xf numFmtId="0" fontId="3" fillId="0" borderId="2" xfId="0" applyFont="1" applyFill="1" applyBorder="1" applyAlignment="1">
      <alignment horizontal="right" vertical="center" shrinkToFit="1"/>
    </xf>
    <xf numFmtId="0" fontId="2" fillId="0" borderId="9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3" fillId="0" borderId="17" xfId="0" applyFont="1" applyFill="1" applyBorder="1" applyAlignment="1">
      <alignment horizontal="right" vertical="center" shrinkToFit="1"/>
    </xf>
    <xf numFmtId="0" fontId="3" fillId="0" borderId="0" xfId="0" applyFont="1" applyFill="1" applyBorder="1" applyAlignment="1">
      <alignment vertical="center" shrinkToFit="1"/>
    </xf>
    <xf numFmtId="0" fontId="3" fillId="0" borderId="2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horizontal="right" vertical="center" shrinkToFit="1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 shrinkToFit="1"/>
    </xf>
    <xf numFmtId="9" fontId="3" fillId="0" borderId="0" xfId="0" applyNumberFormat="1" applyFont="1" applyFill="1" applyBorder="1" applyAlignment="1">
      <alignment horizontal="center" vertical="center" shrinkToFit="1"/>
    </xf>
    <xf numFmtId="0" fontId="3" fillId="0" borderId="17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left" vertical="center" shrinkToFit="1"/>
    </xf>
    <xf numFmtId="166" fontId="7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vertical="center"/>
    </xf>
    <xf numFmtId="0" fontId="2" fillId="0" borderId="0" xfId="0" applyFont="1"/>
    <xf numFmtId="0" fontId="2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0" borderId="9" xfId="0" applyFont="1" applyFill="1" applyBorder="1"/>
    <xf numFmtId="0" fontId="2" fillId="0" borderId="9" xfId="0" applyFont="1" applyBorder="1"/>
    <xf numFmtId="2" fontId="2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right"/>
    </xf>
    <xf numFmtId="2" fontId="6" fillId="0" borderId="0" xfId="0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166" fontId="3" fillId="0" borderId="0" xfId="0" applyNumberFormat="1" applyFont="1" applyFill="1" applyBorder="1" applyAlignment="1">
      <alignment vertical="center" wrapText="1" shrinkToFit="1"/>
    </xf>
    <xf numFmtId="166" fontId="5" fillId="0" borderId="0" xfId="0" applyNumberFormat="1" applyFont="1" applyFill="1" applyBorder="1" applyAlignment="1">
      <alignment vertical="center" wrapText="1" shrinkToFit="1"/>
    </xf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vertical="center"/>
    </xf>
    <xf numFmtId="0" fontId="3" fillId="0" borderId="0" xfId="0" applyFont="1" applyFill="1"/>
    <xf numFmtId="0" fontId="2" fillId="0" borderId="0" xfId="0" applyFont="1" applyFill="1" applyBorder="1" applyAlignment="1">
      <alignment horizontal="left"/>
    </xf>
    <xf numFmtId="0" fontId="3" fillId="0" borderId="9" xfId="0" applyFont="1" applyFill="1" applyBorder="1" applyAlignment="1">
      <alignment vertical="center" shrinkToFit="1"/>
    </xf>
    <xf numFmtId="0" fontId="3" fillId="0" borderId="17" xfId="0" applyFont="1" applyFill="1" applyBorder="1"/>
    <xf numFmtId="0" fontId="3" fillId="0" borderId="8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3" borderId="0" xfId="0" applyNumberFormat="1" applyFont="1" applyFill="1" applyBorder="1" applyAlignment="1">
      <alignment vertical="center"/>
    </xf>
    <xf numFmtId="0" fontId="3" fillId="3" borderId="0" xfId="0" applyFont="1" applyFill="1" applyBorder="1"/>
    <xf numFmtId="0" fontId="3" fillId="3" borderId="0" xfId="0" applyFont="1" applyFill="1" applyBorder="1" applyAlignment="1">
      <alignment vertical="center" shrinkToFit="1"/>
    </xf>
    <xf numFmtId="0" fontId="3" fillId="3" borderId="0" xfId="0" applyFont="1" applyFill="1" applyBorder="1" applyAlignment="1">
      <alignment horizontal="left" vertical="center" shrinkToFit="1"/>
    </xf>
    <xf numFmtId="0" fontId="3" fillId="3" borderId="0" xfId="0" quotePrefix="1" applyFont="1" applyFill="1" applyBorder="1" applyAlignment="1">
      <alignment vertical="center" shrinkToFit="1"/>
    </xf>
    <xf numFmtId="1" fontId="3" fillId="3" borderId="0" xfId="0" applyNumberFormat="1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right" vertical="center" shrinkToFi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67" xfId="0" applyFont="1" applyFill="1" applyBorder="1" applyAlignment="1">
      <alignment vertical="center"/>
    </xf>
    <xf numFmtId="0" fontId="3" fillId="3" borderId="73" xfId="0" applyFont="1" applyFill="1" applyBorder="1" applyAlignment="1">
      <alignment vertical="center"/>
    </xf>
    <xf numFmtId="0" fontId="3" fillId="0" borderId="69" xfId="0" applyFont="1" applyFill="1" applyBorder="1" applyAlignment="1">
      <alignment horizontal="right" vertical="center" shrinkToFit="1"/>
    </xf>
    <xf numFmtId="0" fontId="3" fillId="0" borderId="69" xfId="0" applyFont="1" applyFill="1" applyBorder="1" applyAlignment="1">
      <alignment horizontal="center" vertical="center" wrapText="1" shrinkToFit="1"/>
    </xf>
    <xf numFmtId="0" fontId="3" fillId="0" borderId="70" xfId="0" applyFont="1" applyFill="1" applyBorder="1" applyAlignment="1">
      <alignment horizontal="center" vertical="center" wrapText="1" shrinkToFit="1"/>
    </xf>
    <xf numFmtId="0" fontId="3" fillId="0" borderId="73" xfId="0" applyFont="1" applyFill="1" applyBorder="1" applyAlignment="1">
      <alignment horizontal="left" vertical="center" shrinkToFit="1"/>
    </xf>
    <xf numFmtId="0" fontId="3" fillId="0" borderId="69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right"/>
    </xf>
    <xf numFmtId="0" fontId="3" fillId="0" borderId="73" xfId="0" applyFont="1" applyFill="1" applyBorder="1" applyAlignment="1">
      <alignment vertical="center" shrinkToFit="1"/>
    </xf>
    <xf numFmtId="0" fontId="3" fillId="0" borderId="70" xfId="0" applyFont="1" applyFill="1" applyBorder="1" applyAlignment="1">
      <alignment vertical="center" shrinkToFit="1"/>
    </xf>
    <xf numFmtId="0" fontId="3" fillId="0" borderId="73" xfId="0" applyFont="1" applyFill="1" applyBorder="1" applyAlignment="1">
      <alignment horizontal="center" vertical="center" shrinkToFit="1"/>
    </xf>
    <xf numFmtId="0" fontId="3" fillId="0" borderId="15" xfId="0" applyFont="1" applyFill="1" applyBorder="1" applyAlignment="1">
      <alignment vertical="center"/>
    </xf>
    <xf numFmtId="0" fontId="3" fillId="0" borderId="67" xfId="0" applyFont="1" applyFill="1" applyBorder="1"/>
    <xf numFmtId="0" fontId="3" fillId="0" borderId="73" xfId="0" applyFont="1" applyFill="1" applyBorder="1"/>
    <xf numFmtId="0" fontId="3" fillId="0" borderId="77" xfId="0" applyFont="1" applyFill="1" applyBorder="1"/>
    <xf numFmtId="0" fontId="2" fillId="0" borderId="73" xfId="0" applyFont="1" applyBorder="1"/>
    <xf numFmtId="0" fontId="0" fillId="0" borderId="0" xfId="0" applyFill="1" applyBorder="1"/>
    <xf numFmtId="166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13" fillId="0" borderId="0" xfId="0" applyFont="1" applyFill="1" applyBorder="1" applyAlignment="1"/>
    <xf numFmtId="0" fontId="13" fillId="0" borderId="0" xfId="0" applyFont="1" applyFill="1" applyBorder="1" applyAlignment="1">
      <alignment horizontal="right"/>
    </xf>
    <xf numFmtId="2" fontId="12" fillId="0" borderId="0" xfId="1" applyNumberForma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2" fillId="4" borderId="82" xfId="0" applyFont="1" applyFill="1" applyBorder="1"/>
    <xf numFmtId="0" fontId="2" fillId="4" borderId="83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13" fillId="4" borderId="0" xfId="0" applyFont="1" applyFill="1" applyBorder="1" applyAlignment="1">
      <alignment horizontal="right"/>
    </xf>
    <xf numFmtId="0" fontId="13" fillId="4" borderId="0" xfId="0" applyFont="1" applyFill="1" applyBorder="1"/>
    <xf numFmtId="0" fontId="2" fillId="4" borderId="73" xfId="0" applyFont="1" applyFill="1" applyBorder="1"/>
    <xf numFmtId="0" fontId="16" fillId="4" borderId="0" xfId="0" applyFont="1" applyFill="1" applyBorder="1" applyAlignment="1">
      <alignment horizontal="right"/>
    </xf>
    <xf numFmtId="0" fontId="17" fillId="4" borderId="0" xfId="0" applyFont="1" applyFill="1" applyBorder="1" applyAlignment="1">
      <alignment horizontal="right"/>
    </xf>
    <xf numFmtId="0" fontId="13" fillId="4" borderId="0" xfId="0" applyFont="1" applyFill="1" applyBorder="1" applyAlignment="1">
      <alignment horizontal="center"/>
    </xf>
    <xf numFmtId="0" fontId="2" fillId="4" borderId="84" xfId="0" applyFont="1" applyFill="1" applyBorder="1"/>
    <xf numFmtId="2" fontId="13" fillId="4" borderId="0" xfId="0" applyNumberFormat="1" applyFont="1" applyFill="1" applyBorder="1" applyAlignment="1">
      <alignment horizontal="center"/>
    </xf>
    <xf numFmtId="166" fontId="13" fillId="0" borderId="85" xfId="0" applyNumberFormat="1" applyFont="1" applyFill="1" applyBorder="1" applyAlignment="1">
      <alignment horizontal="center"/>
    </xf>
    <xf numFmtId="166" fontId="12" fillId="6" borderId="86" xfId="1" applyNumberFormat="1" applyFill="1" applyBorder="1" applyAlignment="1">
      <alignment horizontal="center"/>
    </xf>
    <xf numFmtId="166" fontId="13" fillId="4" borderId="0" xfId="0" applyNumberFormat="1" applyFont="1" applyFill="1" applyBorder="1" applyAlignment="1">
      <alignment horizontal="center"/>
    </xf>
    <xf numFmtId="166" fontId="15" fillId="5" borderId="87" xfId="1" applyNumberFormat="1" applyFont="1" applyBorder="1" applyAlignment="1">
      <alignment horizontal="center"/>
    </xf>
    <xf numFmtId="166" fontId="18" fillId="6" borderId="30" xfId="1" applyNumberFormat="1" applyFont="1" applyFill="1" applyBorder="1" applyAlignment="1">
      <alignment horizontal="center"/>
    </xf>
    <xf numFmtId="0" fontId="19" fillId="3" borderId="3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3" fillId="0" borderId="73" xfId="0" applyFont="1" applyFill="1" applyBorder="1" applyAlignment="1">
      <alignment horizontal="left" vertical="center" shrinkToFit="1"/>
    </xf>
    <xf numFmtId="0" fontId="3" fillId="0" borderId="7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left" vertical="center" shrinkToFit="1"/>
    </xf>
    <xf numFmtId="0" fontId="3" fillId="0" borderId="69" xfId="0" applyFont="1" applyFill="1" applyBorder="1" applyAlignment="1">
      <alignment horizontal="center" vertical="center" shrinkToFit="1"/>
    </xf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 vertical="center" shrinkToFit="1"/>
    </xf>
    <xf numFmtId="0" fontId="3" fillId="0" borderId="68" xfId="0" applyFont="1" applyFill="1" applyBorder="1" applyAlignment="1">
      <alignment horizontal="right" vertical="center" shrinkToFit="1"/>
    </xf>
    <xf numFmtId="0" fontId="3" fillId="0" borderId="69" xfId="0" applyFont="1" applyFill="1" applyBorder="1" applyAlignment="1">
      <alignment horizontal="right" vertical="center" shrinkToFi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30" xfId="0" applyBorder="1" applyAlignment="1">
      <alignment horizontal="right"/>
    </xf>
    <xf numFmtId="0" fontId="25" fillId="12" borderId="0" xfId="0" applyFont="1" applyFill="1" applyAlignment="1">
      <alignment horizontal="center" vertical="center" textRotation="90"/>
    </xf>
    <xf numFmtId="0" fontId="0" fillId="12" borderId="0" xfId="0" applyFill="1" applyAlignment="1">
      <alignment horizontal="right"/>
    </xf>
    <xf numFmtId="0" fontId="0" fillId="12" borderId="0" xfId="0" applyFill="1"/>
    <xf numFmtId="0" fontId="26" fillId="0" borderId="30" xfId="0" applyFont="1" applyBorder="1" applyAlignment="1">
      <alignment horizontal="right"/>
    </xf>
    <xf numFmtId="0" fontId="28" fillId="0" borderId="30" xfId="0" applyFont="1" applyBorder="1" applyAlignment="1">
      <alignment horizontal="right"/>
    </xf>
    <xf numFmtId="0" fontId="29" fillId="0" borderId="30" xfId="0" applyFont="1" applyBorder="1" applyAlignment="1">
      <alignment horizontal="right"/>
    </xf>
    <xf numFmtId="0" fontId="30" fillId="0" borderId="30" xfId="0" applyFon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0" fontId="0" fillId="6" borderId="0" xfId="0" applyFill="1" applyAlignment="1">
      <alignment horizontal="left"/>
    </xf>
    <xf numFmtId="49" fontId="0" fillId="6" borderId="0" xfId="0" applyNumberFormat="1" applyFill="1" applyAlignment="1">
      <alignment horizontal="left"/>
    </xf>
    <xf numFmtId="0" fontId="13" fillId="0" borderId="30" xfId="0" applyFont="1" applyBorder="1" applyAlignment="1">
      <alignment horizontal="right"/>
    </xf>
    <xf numFmtId="0" fontId="31" fillId="6" borderId="0" xfId="0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0" fillId="0" borderId="95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97" xfId="0" applyBorder="1" applyAlignment="1">
      <alignment horizontal="right"/>
    </xf>
    <xf numFmtId="0" fontId="26" fillId="0" borderId="96" xfId="0" applyFont="1" applyBorder="1" applyAlignment="1">
      <alignment horizontal="right"/>
    </xf>
    <xf numFmtId="0" fontId="28" fillId="0" borderId="96" xfId="0" applyFont="1" applyBorder="1" applyAlignment="1">
      <alignment horizontal="right"/>
    </xf>
    <xf numFmtId="0" fontId="30" fillId="0" borderId="96" xfId="0" applyFont="1" applyBorder="1" applyAlignment="1">
      <alignment horizontal="right"/>
    </xf>
    <xf numFmtId="0" fontId="29" fillId="0" borderId="96" xfId="0" applyFont="1" applyBorder="1" applyAlignment="1">
      <alignment horizontal="right"/>
    </xf>
    <xf numFmtId="0" fontId="26" fillId="0" borderId="95" xfId="0" applyFont="1" applyBorder="1" applyAlignment="1">
      <alignment horizontal="right"/>
    </xf>
    <xf numFmtId="0" fontId="0" fillId="13" borderId="30" xfId="0" applyFill="1" applyBorder="1" applyAlignment="1">
      <alignment horizontal="right"/>
    </xf>
    <xf numFmtId="0" fontId="0" fillId="13" borderId="96" xfId="0" applyFill="1" applyBorder="1" applyAlignment="1">
      <alignment horizontal="right"/>
    </xf>
    <xf numFmtId="0" fontId="0" fillId="13" borderId="0" xfId="0" applyFill="1"/>
    <xf numFmtId="0" fontId="26" fillId="13" borderId="30" xfId="0" applyFont="1" applyFill="1" applyBorder="1" applyAlignment="1">
      <alignment horizontal="right"/>
    </xf>
    <xf numFmtId="0" fontId="26" fillId="13" borderId="96" xfId="0" applyFont="1" applyFill="1" applyBorder="1" applyAlignment="1">
      <alignment horizontal="right"/>
    </xf>
    <xf numFmtId="0" fontId="30" fillId="13" borderId="30" xfId="0" applyFont="1" applyFill="1" applyBorder="1" applyAlignment="1">
      <alignment horizontal="right"/>
    </xf>
    <xf numFmtId="0" fontId="30" fillId="13" borderId="96" xfId="0" applyFont="1" applyFill="1" applyBorder="1" applyAlignment="1">
      <alignment horizontal="right"/>
    </xf>
    <xf numFmtId="0" fontId="0" fillId="13" borderId="97" xfId="0" applyFill="1" applyBorder="1" applyAlignment="1">
      <alignment horizontal="right"/>
    </xf>
    <xf numFmtId="0" fontId="28" fillId="13" borderId="30" xfId="0" applyFont="1" applyFill="1" applyBorder="1" applyAlignment="1">
      <alignment horizontal="right"/>
    </xf>
    <xf numFmtId="0" fontId="28" fillId="13" borderId="96" xfId="0" applyFont="1" applyFill="1" applyBorder="1" applyAlignment="1">
      <alignment horizontal="right"/>
    </xf>
    <xf numFmtId="0" fontId="29" fillId="13" borderId="30" xfId="0" applyFont="1" applyFill="1" applyBorder="1" applyAlignment="1">
      <alignment horizontal="right"/>
    </xf>
    <xf numFmtId="0" fontId="29" fillId="13" borderId="96" xfId="0" applyFont="1" applyFill="1" applyBorder="1" applyAlignment="1">
      <alignment horizontal="right"/>
    </xf>
    <xf numFmtId="0" fontId="29" fillId="13" borderId="97" xfId="0" applyFont="1" applyFill="1" applyBorder="1" applyAlignment="1">
      <alignment horizontal="right"/>
    </xf>
    <xf numFmtId="0" fontId="13" fillId="13" borderId="30" xfId="0" applyFont="1" applyFill="1" applyBorder="1" applyAlignment="1">
      <alignment horizontal="right"/>
    </xf>
    <xf numFmtId="0" fontId="28" fillId="13" borderId="97" xfId="0" applyFont="1" applyFill="1" applyBorder="1" applyAlignment="1">
      <alignment horizontal="right"/>
    </xf>
    <xf numFmtId="0" fontId="2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3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ill="1"/>
    <xf numFmtId="0" fontId="4" fillId="3" borderId="0" xfId="0" applyFont="1" applyFill="1" applyBorder="1" applyAlignment="1">
      <alignment vertical="center"/>
    </xf>
    <xf numFmtId="0" fontId="3" fillId="8" borderId="33" xfId="0" applyFont="1" applyFill="1" applyBorder="1"/>
    <xf numFmtId="0" fontId="3" fillId="8" borderId="93" xfId="0" applyFont="1" applyFill="1" applyBorder="1"/>
    <xf numFmtId="0" fontId="3" fillId="13" borderId="0" xfId="0" applyFont="1" applyFill="1" applyBorder="1" applyAlignment="1">
      <alignment vertical="center"/>
    </xf>
    <xf numFmtId="0" fontId="3" fillId="13" borderId="0" xfId="0" applyFont="1" applyFill="1" applyBorder="1" applyAlignment="1">
      <alignment vertical="center" shrinkToFit="1"/>
    </xf>
    <xf numFmtId="0" fontId="3" fillId="13" borderId="35" xfId="0" applyFont="1" applyFill="1" applyBorder="1" applyAlignment="1">
      <alignment vertical="center" shrinkToFit="1"/>
    </xf>
    <xf numFmtId="0" fontId="6" fillId="13" borderId="24" xfId="0" applyFont="1" applyFill="1" applyBorder="1" applyAlignment="1">
      <alignment horizontal="right"/>
    </xf>
    <xf numFmtId="2" fontId="6" fillId="13" borderId="71" xfId="0" applyNumberFormat="1" applyFont="1" applyFill="1" applyBorder="1" applyAlignment="1"/>
    <xf numFmtId="0" fontId="6" fillId="13" borderId="0" xfId="0" applyFont="1" applyFill="1" applyBorder="1"/>
    <xf numFmtId="0" fontId="3" fillId="13" borderId="13" xfId="0" applyFont="1" applyFill="1" applyBorder="1" applyAlignment="1">
      <alignment vertical="center"/>
    </xf>
    <xf numFmtId="0" fontId="3" fillId="2" borderId="39" xfId="0" applyFont="1" applyFill="1" applyBorder="1"/>
    <xf numFmtId="0" fontId="3" fillId="2" borderId="40" xfId="0" applyFont="1" applyFill="1" applyBorder="1"/>
    <xf numFmtId="2" fontId="6" fillId="13" borderId="45" xfId="0" applyNumberFormat="1" applyFont="1" applyFill="1" applyBorder="1" applyAlignment="1"/>
    <xf numFmtId="0" fontId="3" fillId="13" borderId="45" xfId="0" applyFont="1" applyFill="1" applyBorder="1" applyAlignment="1">
      <alignment vertical="center" shrinkToFit="1"/>
    </xf>
    <xf numFmtId="0" fontId="3" fillId="10" borderId="48" xfId="0" applyFont="1" applyFill="1" applyBorder="1" applyAlignment="1">
      <alignment vertical="center" shrinkToFit="1"/>
    </xf>
    <xf numFmtId="0" fontId="3" fillId="10" borderId="49" xfId="0" applyFont="1" applyFill="1" applyBorder="1" applyAlignment="1">
      <alignment vertical="center" shrinkToFit="1"/>
    </xf>
    <xf numFmtId="9" fontId="3" fillId="10" borderId="49" xfId="0" applyNumberFormat="1" applyFont="1" applyFill="1" applyBorder="1" applyAlignment="1">
      <alignment horizontal="center" vertical="center" shrinkToFit="1"/>
    </xf>
    <xf numFmtId="2" fontId="6" fillId="13" borderId="54" xfId="0" applyNumberFormat="1" applyFont="1" applyFill="1" applyBorder="1" applyAlignment="1"/>
    <xf numFmtId="0" fontId="3" fillId="13" borderId="54" xfId="0" applyFont="1" applyFill="1" applyBorder="1" applyAlignment="1">
      <alignment vertical="center" shrinkToFit="1"/>
    </xf>
    <xf numFmtId="0" fontId="3" fillId="13" borderId="27" xfId="0" applyFont="1" applyFill="1" applyBorder="1" applyAlignment="1">
      <alignment horizontal="center" vertical="center" shrinkToFit="1"/>
    </xf>
    <xf numFmtId="0" fontId="3" fillId="9" borderId="59" xfId="0" applyFont="1" applyFill="1" applyBorder="1" applyAlignment="1">
      <alignment vertical="center" shrinkToFit="1"/>
    </xf>
    <xf numFmtId="0" fontId="3" fillId="9" borderId="92" xfId="0" applyFont="1" applyFill="1" applyBorder="1" applyAlignment="1">
      <alignment vertical="center" shrinkToFit="1"/>
    </xf>
    <xf numFmtId="2" fontId="6" fillId="13" borderId="61" xfId="0" applyNumberFormat="1" applyFont="1" applyFill="1" applyBorder="1" applyAlignment="1"/>
    <xf numFmtId="0" fontId="6" fillId="13" borderId="0" xfId="0" applyFont="1" applyFill="1" applyBorder="1" applyAlignment="1">
      <alignment horizontal="right"/>
    </xf>
    <xf numFmtId="2" fontId="6" fillId="13" borderId="63" xfId="0" applyNumberFormat="1" applyFont="1" applyFill="1" applyBorder="1" applyAlignment="1"/>
    <xf numFmtId="0" fontId="6" fillId="13" borderId="23" xfId="0" applyFont="1" applyFill="1" applyBorder="1" applyAlignment="1">
      <alignment horizontal="right"/>
    </xf>
    <xf numFmtId="0" fontId="3" fillId="13" borderId="0" xfId="0" applyFont="1" applyFill="1" applyBorder="1"/>
    <xf numFmtId="0" fontId="3" fillId="13" borderId="63" xfId="0" applyFont="1" applyFill="1" applyBorder="1" applyAlignment="1">
      <alignment vertical="center" shrinkToFit="1"/>
    </xf>
    <xf numFmtId="0" fontId="2" fillId="0" borderId="73" xfId="0" applyFont="1" applyFill="1" applyBorder="1"/>
    <xf numFmtId="0" fontId="2" fillId="0" borderId="69" xfId="0" applyFont="1" applyFill="1" applyBorder="1"/>
    <xf numFmtId="0" fontId="2" fillId="0" borderId="70" xfId="0" applyFont="1" applyFill="1" applyBorder="1"/>
    <xf numFmtId="0" fontId="2" fillId="0" borderId="68" xfId="0" applyFont="1" applyFill="1" applyBorder="1"/>
    <xf numFmtId="0" fontId="2" fillId="0" borderId="94" xfId="0" applyFont="1" applyFill="1" applyBorder="1"/>
    <xf numFmtId="0" fontId="2" fillId="0" borderId="15" xfId="0" applyFont="1" applyFill="1" applyBorder="1"/>
    <xf numFmtId="0" fontId="3" fillId="0" borderId="68" xfId="0" applyFont="1" applyFill="1" applyBorder="1" applyAlignment="1">
      <alignment vertical="center"/>
    </xf>
    <xf numFmtId="0" fontId="3" fillId="0" borderId="69" xfId="0" applyFont="1" applyFill="1" applyBorder="1" applyAlignment="1">
      <alignment vertical="center" shrinkToFit="1"/>
    </xf>
    <xf numFmtId="0" fontId="2" fillId="4" borderId="68" xfId="0" applyFont="1" applyFill="1" applyBorder="1"/>
    <xf numFmtId="0" fontId="2" fillId="4" borderId="69" xfId="0" applyFont="1" applyFill="1" applyBorder="1"/>
    <xf numFmtId="0" fontId="13" fillId="4" borderId="69" xfId="0" applyFont="1" applyFill="1" applyBorder="1" applyAlignment="1">
      <alignment horizontal="right"/>
    </xf>
    <xf numFmtId="166" fontId="12" fillId="6" borderId="103" xfId="1" applyNumberFormat="1" applyFill="1" applyBorder="1" applyAlignment="1">
      <alignment horizontal="center"/>
    </xf>
    <xf numFmtId="0" fontId="2" fillId="4" borderId="70" xfId="0" applyFont="1" applyFill="1" applyBorder="1"/>
    <xf numFmtId="0" fontId="3" fillId="0" borderId="0" xfId="0" applyFont="1" applyFill="1" applyBorder="1" applyAlignment="1">
      <alignment horizontal="center" vertical="center" shrinkToFit="1"/>
    </xf>
    <xf numFmtId="14" fontId="0" fillId="0" borderId="95" xfId="0" applyNumberFormat="1" applyBorder="1" applyAlignment="1">
      <alignment horizontal="right"/>
    </xf>
    <xf numFmtId="0" fontId="29" fillId="0" borderId="30" xfId="0" applyFont="1" applyFill="1" applyBorder="1" applyAlignment="1">
      <alignment horizontal="right"/>
    </xf>
    <xf numFmtId="0" fontId="29" fillId="0" borderId="96" xfId="0" applyFont="1" applyFill="1" applyBorder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0" fontId="38" fillId="3" borderId="0" xfId="0" applyFont="1" applyFill="1" applyAlignment="1">
      <alignment horizontal="center"/>
    </xf>
    <xf numFmtId="0" fontId="0" fillId="0" borderId="111" xfId="0" applyBorder="1"/>
    <xf numFmtId="0" fontId="0" fillId="13" borderId="111" xfId="0" applyFill="1" applyBorder="1"/>
    <xf numFmtId="0" fontId="0" fillId="12" borderId="111" xfId="0" applyFill="1" applyBorder="1"/>
    <xf numFmtId="0" fontId="0" fillId="0" borderId="111" xfId="0" applyFill="1" applyBorder="1"/>
    <xf numFmtId="2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quotePrefix="1" applyFont="1" applyFill="1" applyBorder="1" applyAlignment="1"/>
    <xf numFmtId="14" fontId="0" fillId="0" borderId="30" xfId="0" applyNumberFormat="1" applyBorder="1" applyAlignment="1" applyProtection="1">
      <alignment horizontal="center" shrinkToFit="1"/>
      <protection locked="0"/>
    </xf>
    <xf numFmtId="0" fontId="0" fillId="13" borderId="30" xfId="0" applyFill="1" applyBorder="1" applyAlignment="1" applyProtection="1">
      <alignment horizontal="center" shrinkToFit="1"/>
      <protection locked="0"/>
    </xf>
    <xf numFmtId="0" fontId="0" fillId="0" borderId="30" xfId="0" applyBorder="1" applyAlignment="1" applyProtection="1">
      <alignment horizontal="center" shrinkToFit="1"/>
      <protection locked="0"/>
    </xf>
    <xf numFmtId="0" fontId="0" fillId="12" borderId="0" xfId="0" applyFill="1" applyAlignment="1" applyProtection="1">
      <alignment horizontal="center" shrinkToFit="1"/>
      <protection locked="0"/>
    </xf>
    <xf numFmtId="166" fontId="0" fillId="0" borderId="30" xfId="0" applyNumberFormat="1" applyBorder="1" applyAlignment="1" applyProtection="1">
      <alignment horizontal="center" shrinkToFit="1"/>
      <protection locked="0"/>
    </xf>
    <xf numFmtId="166" fontId="34" fillId="13" borderId="30" xfId="0" applyNumberFormat="1" applyFont="1" applyFill="1" applyBorder="1" applyAlignment="1" applyProtection="1">
      <alignment horizontal="center" shrinkToFit="1"/>
      <protection locked="0"/>
    </xf>
    <xf numFmtId="166" fontId="34" fillId="0" borderId="30" xfId="0" applyNumberFormat="1" applyFont="1" applyBorder="1" applyAlignment="1" applyProtection="1">
      <alignment horizontal="center" shrinkToFit="1"/>
      <protection locked="0"/>
    </xf>
    <xf numFmtId="166" fontId="14" fillId="11" borderId="30" xfId="0" applyNumberFormat="1" applyFont="1" applyFill="1" applyBorder="1" applyAlignment="1" applyProtection="1">
      <alignment horizontal="center" shrinkToFit="1"/>
      <protection locked="0"/>
    </xf>
    <xf numFmtId="165" fontId="14" fillId="11" borderId="30" xfId="0" applyNumberFormat="1" applyFont="1" applyFill="1" applyBorder="1" applyAlignment="1" applyProtection="1">
      <alignment horizontal="center" shrinkToFit="1"/>
      <protection locked="0"/>
    </xf>
    <xf numFmtId="165" fontId="13" fillId="11" borderId="30" xfId="0" applyNumberFormat="1" applyFont="1" applyFill="1" applyBorder="1" applyAlignment="1" applyProtection="1">
      <alignment horizontal="center" shrinkToFit="1"/>
      <protection locked="0"/>
    </xf>
    <xf numFmtId="1" fontId="13" fillId="11" borderId="30" xfId="0" applyNumberFormat="1" applyFont="1" applyFill="1" applyBorder="1" applyAlignment="1" applyProtection="1">
      <alignment horizontal="center" shrinkToFit="1"/>
      <protection locked="0"/>
    </xf>
    <xf numFmtId="166" fontId="9" fillId="0" borderId="30" xfId="0" applyNumberFormat="1" applyFont="1" applyBorder="1" applyAlignment="1" applyProtection="1">
      <alignment horizontal="center" shrinkToFit="1"/>
      <protection locked="0"/>
    </xf>
    <xf numFmtId="166" fontId="9" fillId="13" borderId="30" xfId="0" applyNumberFormat="1" applyFont="1" applyFill="1" applyBorder="1" applyAlignment="1" applyProtection="1">
      <alignment horizontal="center" shrinkToFit="1"/>
      <protection locked="0"/>
    </xf>
    <xf numFmtId="166" fontId="13" fillId="14" borderId="30" xfId="0" applyNumberFormat="1" applyFont="1" applyFill="1" applyBorder="1" applyAlignment="1" applyProtection="1">
      <alignment horizontal="center" shrinkToFit="1"/>
      <protection locked="0"/>
    </xf>
    <xf numFmtId="0" fontId="9" fillId="0" borderId="30" xfId="0" applyFont="1" applyBorder="1" applyAlignment="1" applyProtection="1">
      <alignment horizontal="center" shrinkToFit="1"/>
      <protection locked="0"/>
    </xf>
    <xf numFmtId="0" fontId="9" fillId="13" borderId="30" xfId="0" applyFont="1" applyFill="1" applyBorder="1" applyAlignment="1" applyProtection="1">
      <alignment horizontal="center" shrinkToFit="1"/>
      <protection locked="0"/>
    </xf>
    <xf numFmtId="1" fontId="13" fillId="14" borderId="30" xfId="0" applyNumberFormat="1" applyFont="1" applyFill="1" applyBorder="1" applyAlignment="1" applyProtection="1">
      <alignment horizontal="center" shrinkToFit="1"/>
      <protection locked="0"/>
    </xf>
    <xf numFmtId="0" fontId="34" fillId="13" borderId="30" xfId="0" applyFont="1" applyFill="1" applyBorder="1" applyAlignment="1" applyProtection="1">
      <alignment horizontal="center" shrinkToFit="1"/>
      <protection locked="0"/>
    </xf>
    <xf numFmtId="0" fontId="34" fillId="0" borderId="30" xfId="0" applyFont="1" applyBorder="1" applyAlignment="1" applyProtection="1">
      <alignment horizontal="center" shrinkToFit="1"/>
      <protection locked="0"/>
    </xf>
    <xf numFmtId="169" fontId="0" fillId="13" borderId="30" xfId="0" applyNumberFormat="1" applyFill="1" applyBorder="1" applyAlignment="1" applyProtection="1">
      <alignment horizontal="center" shrinkToFit="1"/>
      <protection locked="0"/>
    </xf>
    <xf numFmtId="169" fontId="0" fillId="0" borderId="30" xfId="0" applyNumberFormat="1" applyBorder="1" applyAlignment="1" applyProtection="1">
      <alignment horizontal="center" shrinkToFit="1"/>
      <protection locked="0"/>
    </xf>
    <xf numFmtId="0" fontId="34" fillId="0" borderId="30" xfId="0" applyFont="1" applyFill="1" applyBorder="1" applyAlignment="1" applyProtection="1">
      <alignment horizontal="center" shrinkToFit="1"/>
      <protection locked="0"/>
    </xf>
    <xf numFmtId="1" fontId="0" fillId="14" borderId="30" xfId="0" applyNumberFormat="1" applyFill="1" applyBorder="1" applyAlignment="1" applyProtection="1">
      <alignment horizontal="center" shrinkToFit="1"/>
      <protection locked="0"/>
    </xf>
    <xf numFmtId="0" fontId="0" fillId="12" borderId="30" xfId="0" applyFill="1" applyBorder="1" applyAlignment="1" applyProtection="1">
      <alignment horizontal="center" shrinkToFit="1"/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0" borderId="0" xfId="2"/>
    <xf numFmtId="0" fontId="42" fillId="0" borderId="0" xfId="2" applyFont="1" applyFill="1"/>
    <xf numFmtId="0" fontId="1" fillId="15" borderId="0" xfId="2" applyFill="1"/>
    <xf numFmtId="0" fontId="43" fillId="0" borderId="0" xfId="2" applyFont="1"/>
    <xf numFmtId="1" fontId="1" fillId="0" borderId="0" xfId="2" applyNumberFormat="1"/>
    <xf numFmtId="2" fontId="1" fillId="0" borderId="0" xfId="2" applyNumberFormat="1" applyFill="1"/>
    <xf numFmtId="2" fontId="1" fillId="0" borderId="0" xfId="2" applyNumberFormat="1"/>
    <xf numFmtId="0" fontId="1" fillId="2" borderId="0" xfId="2" applyFill="1"/>
    <xf numFmtId="1" fontId="43" fillId="2" borderId="0" xfId="2" applyNumberFormat="1" applyFont="1" applyFill="1"/>
    <xf numFmtId="1" fontId="43" fillId="0" borderId="0" xfId="2" applyNumberFormat="1" applyFont="1"/>
    <xf numFmtId="2" fontId="9" fillId="14" borderId="30" xfId="0" applyNumberFormat="1" applyFont="1" applyFill="1" applyBorder="1" applyAlignment="1" applyProtection="1">
      <alignment horizontal="center" shrinkToFit="1"/>
      <protection locked="0"/>
    </xf>
    <xf numFmtId="0" fontId="1" fillId="0" borderId="0" xfId="2" applyAlignment="1">
      <alignment horizontal="right"/>
    </xf>
    <xf numFmtId="166" fontId="9" fillId="0" borderId="30" xfId="0" applyNumberFormat="1" applyFont="1" applyFill="1" applyBorder="1" applyAlignment="1" applyProtection="1">
      <alignment horizontal="center" shrinkToFit="1"/>
      <protection locked="0"/>
    </xf>
    <xf numFmtId="0" fontId="3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3" fillId="0" borderId="69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right" vertical="center" shrinkToFit="1"/>
    </xf>
    <xf numFmtId="0" fontId="3" fillId="3" borderId="0" xfId="0" applyFont="1" applyFill="1" applyBorder="1" applyAlignment="1">
      <alignment horizontal="right" vertical="center" shrinkToFit="1"/>
    </xf>
    <xf numFmtId="0" fontId="3" fillId="0" borderId="7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 vertical="center" shrinkToFit="1"/>
    </xf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right" vertical="center" shrinkToFit="1"/>
    </xf>
    <xf numFmtId="0" fontId="3" fillId="3" borderId="14" xfId="0" applyFont="1" applyFill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 shrinkToFit="1"/>
    </xf>
    <xf numFmtId="0" fontId="3" fillId="0" borderId="68" xfId="0" applyFont="1" applyFill="1" applyBorder="1" applyAlignment="1">
      <alignment horizontal="right" vertical="center" shrinkToFit="1"/>
    </xf>
    <xf numFmtId="0" fontId="3" fillId="0" borderId="69" xfId="0" applyFont="1" applyFill="1" applyBorder="1" applyAlignment="1">
      <alignment horizontal="right" vertical="center" shrinkToFit="1"/>
    </xf>
    <xf numFmtId="0" fontId="3" fillId="0" borderId="69" xfId="0" applyFont="1" applyFill="1" applyBorder="1" applyAlignment="1">
      <alignment horizontal="left" vertical="center" shrinkToFit="1"/>
    </xf>
    <xf numFmtId="166" fontId="0" fillId="0" borderId="0" xfId="0" applyNumberFormat="1" applyAlignment="1">
      <alignment horizontal="center"/>
    </xf>
    <xf numFmtId="166" fontId="35" fillId="0" borderId="0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Fill="1" applyBorder="1" applyAlignment="1">
      <alignment horizontal="right" vertical="center"/>
    </xf>
    <xf numFmtId="0" fontId="0" fillId="0" borderId="30" xfId="0" applyFont="1" applyBorder="1" applyAlignment="1">
      <alignment horizontal="right"/>
    </xf>
    <xf numFmtId="0" fontId="0" fillId="13" borderId="30" xfId="0" applyFont="1" applyFill="1" applyBorder="1" applyAlignment="1">
      <alignment horizontal="right"/>
    </xf>
    <xf numFmtId="0" fontId="0" fillId="14" borderId="30" xfId="0" applyFill="1" applyBorder="1" applyAlignment="1" applyProtection="1">
      <alignment horizontal="center" shrinkToFit="1"/>
      <protection locked="0"/>
    </xf>
    <xf numFmtId="172" fontId="0" fillId="14" borderId="30" xfId="0" applyNumberFormat="1" applyFill="1" applyBorder="1" applyAlignment="1" applyProtection="1">
      <alignment horizontal="center" shrinkToFit="1"/>
      <protection locked="0"/>
    </xf>
    <xf numFmtId="0" fontId="41" fillId="0" borderId="0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 shrinkToFit="1"/>
    </xf>
    <xf numFmtId="0" fontId="3" fillId="0" borderId="68" xfId="0" applyFont="1" applyFill="1" applyBorder="1" applyAlignment="1">
      <alignment horizontal="center" vertical="center" wrapText="1" shrinkToFit="1"/>
    </xf>
    <xf numFmtId="0" fontId="4" fillId="0" borderId="0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3" fillId="0" borderId="15" xfId="0" applyFont="1" applyFill="1" applyBorder="1" applyAlignment="1">
      <alignment vertical="center" shrinkToFit="1"/>
    </xf>
    <xf numFmtId="0" fontId="3" fillId="0" borderId="94" xfId="0" applyFont="1" applyFill="1" applyBorder="1" applyAlignment="1">
      <alignment horizontal="center" vertical="center" wrapText="1" shrinkToFit="1"/>
    </xf>
    <xf numFmtId="0" fontId="3" fillId="0" borderId="0" xfId="0" applyFont="1" applyFill="1" applyBorder="1" applyAlignment="1">
      <alignment horizontal="center" vertical="center" wrapText="1" shrinkToFit="1"/>
    </xf>
    <xf numFmtId="0" fontId="21" fillId="9" borderId="59" xfId="0" applyFont="1" applyFill="1" applyBorder="1" applyAlignment="1">
      <alignment vertical="center" shrinkToFit="1"/>
    </xf>
    <xf numFmtId="0" fontId="3" fillId="13" borderId="64" xfId="0" applyFont="1" applyFill="1" applyBorder="1" applyAlignment="1">
      <alignment vertical="center" shrinkToFit="1"/>
    </xf>
    <xf numFmtId="0" fontId="3" fillId="13" borderId="65" xfId="0" applyFont="1" applyFill="1" applyBorder="1" applyAlignment="1">
      <alignment vertical="center" shrinkToFit="1"/>
    </xf>
    <xf numFmtId="0" fontId="2" fillId="0" borderId="2" xfId="0" applyFont="1" applyFill="1" applyBorder="1"/>
    <xf numFmtId="0" fontId="2" fillId="0" borderId="17" xfId="0" applyFont="1" applyFill="1" applyBorder="1"/>
    <xf numFmtId="0" fontId="3" fillId="13" borderId="66" xfId="0" applyFont="1" applyFill="1" applyBorder="1" applyAlignment="1">
      <alignment vertical="center" shrinkToFit="1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2" fontId="4" fillId="13" borderId="27" xfId="0" applyNumberFormat="1" applyFont="1" applyFill="1" applyBorder="1" applyAlignment="1">
      <alignment vertical="center" shrinkToFit="1"/>
    </xf>
    <xf numFmtId="0" fontId="3" fillId="13" borderId="56" xfId="0" applyFont="1" applyFill="1" applyBorder="1" applyAlignment="1">
      <alignment vertical="center" shrinkToFit="1"/>
    </xf>
    <xf numFmtId="0" fontId="3" fillId="13" borderId="57" xfId="0" applyFont="1" applyFill="1" applyBorder="1" applyAlignment="1">
      <alignment vertical="center" shrinkToFit="1"/>
    </xf>
    <xf numFmtId="166" fontId="35" fillId="13" borderId="55" xfId="0" applyNumberFormat="1" applyFont="1" applyFill="1" applyBorder="1" applyAlignment="1" applyProtection="1">
      <alignment vertical="center"/>
      <protection locked="0"/>
    </xf>
    <xf numFmtId="0" fontId="35" fillId="13" borderId="14" xfId="0" applyFont="1" applyFill="1" applyBorder="1" applyAlignment="1" applyProtection="1">
      <alignment vertical="center"/>
      <protection locked="0"/>
    </xf>
    <xf numFmtId="0" fontId="35" fillId="13" borderId="0" xfId="0" applyFont="1" applyFill="1" applyBorder="1" applyAlignment="1" applyProtection="1">
      <alignment vertical="center"/>
      <protection locked="0"/>
    </xf>
    <xf numFmtId="0" fontId="36" fillId="13" borderId="0" xfId="0" applyFont="1" applyFill="1" applyBorder="1" applyAlignment="1" applyProtection="1">
      <alignment vertical="center"/>
      <protection locked="0"/>
    </xf>
    <xf numFmtId="2" fontId="4" fillId="13" borderId="0" xfId="0" applyNumberFormat="1" applyFont="1" applyFill="1" applyBorder="1" applyAlignment="1">
      <alignment vertical="center" shrinkToFit="1"/>
    </xf>
    <xf numFmtId="0" fontId="36" fillId="13" borderId="14" xfId="0" applyFont="1" applyFill="1" applyBorder="1" applyAlignment="1" applyProtection="1">
      <alignment vertical="center"/>
      <protection locked="0"/>
    </xf>
    <xf numFmtId="0" fontId="3" fillId="0" borderId="69" xfId="0" applyFont="1" applyFill="1" applyBorder="1" applyAlignment="1">
      <alignment horizontal="center"/>
    </xf>
    <xf numFmtId="0" fontId="21" fillId="8" borderId="33" xfId="0" applyFont="1" applyFill="1" applyBorder="1" applyAlignment="1">
      <alignment vertical="center" shrinkToFit="1"/>
    </xf>
    <xf numFmtId="0" fontId="3" fillId="8" borderId="33" xfId="0" applyFont="1" applyFill="1" applyBorder="1" applyAlignment="1">
      <alignment vertical="center" shrinkToFit="1"/>
    </xf>
    <xf numFmtId="0" fontId="3" fillId="8" borderId="93" xfId="0" applyFont="1" applyFill="1" applyBorder="1" applyAlignment="1">
      <alignment vertical="center" shrinkToFit="1"/>
    </xf>
    <xf numFmtId="0" fontId="3" fillId="13" borderId="36" xfId="0" applyFont="1" applyFill="1" applyBorder="1" applyAlignment="1">
      <alignment vertical="center" shrinkToFit="1"/>
    </xf>
    <xf numFmtId="0" fontId="3" fillId="13" borderId="37" xfId="0" applyFont="1" applyFill="1" applyBorder="1" applyAlignment="1">
      <alignment vertical="center" shrinkToFit="1"/>
    </xf>
    <xf numFmtId="0" fontId="3" fillId="13" borderId="38" xfId="0" applyFont="1" applyFill="1" applyBorder="1" applyAlignment="1">
      <alignment vertical="center" shrinkToFit="1"/>
    </xf>
    <xf numFmtId="0" fontId="46" fillId="0" borderId="31" xfId="0" applyFont="1" applyFill="1" applyBorder="1" applyAlignment="1" applyProtection="1">
      <alignment horizontal="center" vertical="center"/>
      <protection locked="0"/>
    </xf>
    <xf numFmtId="166" fontId="35" fillId="13" borderId="46" xfId="0" applyNumberFormat="1" applyFont="1" applyFill="1" applyBorder="1" applyAlignment="1" applyProtection="1">
      <alignment vertical="center"/>
      <protection locked="0"/>
    </xf>
    <xf numFmtId="0" fontId="3" fillId="13" borderId="98" xfId="0" applyFont="1" applyFill="1" applyBorder="1" applyAlignment="1">
      <alignment vertical="center" shrinkToFit="1"/>
    </xf>
    <xf numFmtId="0" fontId="3" fillId="13" borderId="47" xfId="0" applyFont="1" applyFill="1" applyBorder="1" applyAlignment="1">
      <alignment vertical="center" shrinkToFit="1"/>
    </xf>
    <xf numFmtId="0" fontId="3" fillId="2" borderId="39" xfId="0" applyFont="1" applyFill="1" applyBorder="1" applyAlignment="1">
      <alignment vertical="center" shrinkToFit="1"/>
    </xf>
    <xf numFmtId="0" fontId="3" fillId="2" borderId="40" xfId="0" applyFont="1" applyFill="1" applyBorder="1" applyAlignment="1">
      <alignment vertical="center" shrinkToFit="1"/>
    </xf>
    <xf numFmtId="9" fontId="3" fillId="2" borderId="40" xfId="0" applyNumberFormat="1" applyFont="1" applyFill="1" applyBorder="1" applyAlignment="1">
      <alignment horizontal="center" vertical="center" shrinkToFit="1"/>
    </xf>
    <xf numFmtId="0" fontId="0" fillId="12" borderId="0" xfId="0" applyFill="1" applyBorder="1"/>
    <xf numFmtId="0" fontId="6" fillId="0" borderId="13" xfId="0" applyFont="1" applyFill="1" applyBorder="1" applyAlignment="1" applyProtection="1">
      <alignment horizontal="center" vertical="center"/>
      <protection locked="0"/>
    </xf>
    <xf numFmtId="0" fontId="3" fillId="13" borderId="14" xfId="0" applyFont="1" applyFill="1" applyBorder="1" applyAlignment="1">
      <alignment horizontal="center" vertical="center" shrinkToFit="1"/>
    </xf>
    <xf numFmtId="0" fontId="3" fillId="13" borderId="0" xfId="0" applyFont="1" applyFill="1" applyBorder="1" applyAlignment="1">
      <alignment horizontal="center" vertical="center" shrinkToFit="1"/>
    </xf>
    <xf numFmtId="0" fontId="3" fillId="13" borderId="43" xfId="0" applyFont="1" applyFill="1" applyBorder="1" applyAlignment="1">
      <alignment horizontal="center" vertical="center" shrinkToFit="1"/>
    </xf>
    <xf numFmtId="0" fontId="46" fillId="0" borderId="13" xfId="0" applyFont="1" applyFill="1" applyBorder="1" applyAlignment="1" applyProtection="1">
      <alignment horizontal="center" vertical="center"/>
      <protection locked="0"/>
    </xf>
    <xf numFmtId="0" fontId="3" fillId="4" borderId="10" xfId="0" applyFont="1" applyFill="1" applyBorder="1" applyAlignment="1">
      <alignment horizontal="center" vertical="center" shrinkToFit="1"/>
    </xf>
    <xf numFmtId="0" fontId="3" fillId="4" borderId="13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6" fillId="0" borderId="10" xfId="0" quotePrefix="1" applyFont="1" applyFill="1" applyBorder="1" applyAlignment="1" applyProtection="1">
      <alignment horizontal="center" vertical="center"/>
      <protection locked="0"/>
    </xf>
    <xf numFmtId="0" fontId="6" fillId="0" borderId="11" xfId="0" quotePrefix="1" applyFont="1" applyFill="1" applyBorder="1" applyAlignment="1" applyProtection="1">
      <alignment horizontal="center" vertical="center"/>
      <protection locked="0"/>
    </xf>
    <xf numFmtId="0" fontId="46" fillId="0" borderId="10" xfId="0" applyFont="1" applyFill="1" applyBorder="1" applyAlignment="1" applyProtection="1">
      <alignment horizontal="center" vertical="center"/>
      <protection locked="0"/>
    </xf>
    <xf numFmtId="0" fontId="46" fillId="0" borderId="11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>
      <alignment horizontal="left" vertical="center" shrinkToFit="1"/>
    </xf>
    <xf numFmtId="0" fontId="3" fillId="4" borderId="30" xfId="0" applyFont="1" applyFill="1" applyBorder="1" applyAlignment="1">
      <alignment horizontal="center" vertical="center" shrinkToFit="1"/>
    </xf>
    <xf numFmtId="0" fontId="9" fillId="2" borderId="40" xfId="0" applyFont="1" applyFill="1" applyBorder="1" applyAlignment="1">
      <alignment horizontal="center" vertical="center" shrinkToFit="1"/>
    </xf>
    <xf numFmtId="0" fontId="9" fillId="2" borderId="41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shrinkToFit="1"/>
    </xf>
    <xf numFmtId="0" fontId="9" fillId="2" borderId="43" xfId="0" applyFont="1" applyFill="1" applyBorder="1" applyAlignment="1">
      <alignment horizontal="center" vertical="center" shrinkToFit="1"/>
    </xf>
    <xf numFmtId="0" fontId="3" fillId="13" borderId="27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 vertical="center" shrinkToFit="1"/>
    </xf>
    <xf numFmtId="0" fontId="46" fillId="0" borderId="23" xfId="0" applyFont="1" applyFill="1" applyBorder="1" applyAlignment="1" applyProtection="1">
      <alignment horizontal="center" vertical="center"/>
      <protection locked="0"/>
    </xf>
    <xf numFmtId="0" fontId="47" fillId="0" borderId="71" xfId="0" applyFont="1" applyFill="1" applyBorder="1" applyAlignment="1" applyProtection="1">
      <alignment horizontal="center" vertical="center"/>
      <protection locked="0"/>
    </xf>
    <xf numFmtId="0" fontId="47" fillId="0" borderId="26" xfId="0" applyFont="1" applyFill="1" applyBorder="1" applyAlignment="1" applyProtection="1">
      <alignment horizontal="center" vertical="center"/>
      <protection locked="0"/>
    </xf>
    <xf numFmtId="0" fontId="47" fillId="0" borderId="72" xfId="0" applyFont="1" applyFill="1" applyBorder="1" applyAlignment="1" applyProtection="1">
      <alignment horizontal="center" vertical="center"/>
      <protection locked="0"/>
    </xf>
    <xf numFmtId="0" fontId="46" fillId="0" borderId="42" xfId="0" applyFont="1" applyFill="1" applyBorder="1" applyAlignment="1" applyProtection="1">
      <alignment horizontal="center" vertical="center"/>
      <protection locked="0"/>
    </xf>
    <xf numFmtId="0" fontId="47" fillId="0" borderId="25" xfId="0" applyFont="1" applyFill="1" applyBorder="1" applyAlignment="1" applyProtection="1">
      <alignment horizontal="center" vertical="center"/>
      <protection locked="0"/>
    </xf>
    <xf numFmtId="0" fontId="47" fillId="0" borderId="44" xfId="0" applyFont="1" applyFill="1" applyBorder="1" applyAlignment="1" applyProtection="1">
      <alignment horizontal="center" vertical="center"/>
      <protection locked="0"/>
    </xf>
    <xf numFmtId="0" fontId="47" fillId="0" borderId="28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horizontal="right" vertical="center" shrinkToFit="1"/>
    </xf>
    <xf numFmtId="0" fontId="3" fillId="0" borderId="0" xfId="0" applyFont="1" applyFill="1" applyBorder="1" applyAlignment="1">
      <alignment horizontal="right" vertical="center" shrinkToFit="1"/>
    </xf>
    <xf numFmtId="0" fontId="3" fillId="0" borderId="12" xfId="0" applyFont="1" applyFill="1" applyBorder="1" applyAlignment="1">
      <alignment horizontal="righ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3" fillId="0" borderId="12" xfId="0" applyFont="1" applyFill="1" applyBorder="1" applyAlignment="1">
      <alignment horizontal="center" vertical="center" shrinkToFit="1"/>
    </xf>
    <xf numFmtId="0" fontId="3" fillId="0" borderId="14" xfId="0" applyFont="1" applyFill="1" applyBorder="1" applyAlignment="1">
      <alignment horizontal="left" vertical="center" shrinkToFit="1"/>
    </xf>
    <xf numFmtId="0" fontId="3" fillId="0" borderId="73" xfId="0" applyFont="1" applyFill="1" applyBorder="1" applyAlignment="1">
      <alignment horizontal="left" vertical="center" shrinkToFit="1"/>
    </xf>
    <xf numFmtId="0" fontId="3" fillId="13" borderId="34" xfId="0" applyFont="1" applyFill="1" applyBorder="1" applyAlignment="1">
      <alignment horizontal="center" vertical="center" shrinkToFit="1"/>
    </xf>
    <xf numFmtId="0" fontId="3" fillId="13" borderId="14" xfId="0" applyFont="1" applyFill="1" applyBorder="1" applyAlignment="1">
      <alignment horizontal="center"/>
    </xf>
    <xf numFmtId="0" fontId="3" fillId="13" borderId="35" xfId="0" applyFont="1" applyFill="1" applyBorder="1" applyAlignment="1">
      <alignment horizontal="center"/>
    </xf>
    <xf numFmtId="0" fontId="21" fillId="10" borderId="49" xfId="0" applyFont="1" applyFill="1" applyBorder="1" applyAlignment="1">
      <alignment horizontal="center" vertical="center" shrinkToFit="1"/>
    </xf>
    <xf numFmtId="0" fontId="21" fillId="10" borderId="50" xfId="0" applyFont="1" applyFill="1" applyBorder="1" applyAlignment="1">
      <alignment horizontal="center" vertical="center" shrinkToFit="1"/>
    </xf>
    <xf numFmtId="0" fontId="21" fillId="10" borderId="0" xfId="0" applyFont="1" applyFill="1" applyBorder="1" applyAlignment="1">
      <alignment horizontal="center" vertical="center" shrinkToFit="1"/>
    </xf>
    <xf numFmtId="0" fontId="21" fillId="10" borderId="52" xfId="0" applyFont="1" applyFill="1" applyBorder="1" applyAlignment="1">
      <alignment horizontal="center" vertical="center" shrinkToFit="1"/>
    </xf>
    <xf numFmtId="0" fontId="3" fillId="13" borderId="52" xfId="0" applyFont="1" applyFill="1" applyBorder="1" applyAlignment="1">
      <alignment horizontal="center" vertical="center" shrinkToFit="1"/>
    </xf>
    <xf numFmtId="0" fontId="3" fillId="13" borderId="60" xfId="0" applyFont="1" applyFill="1" applyBorder="1" applyAlignment="1">
      <alignment horizontal="center" vertical="center" shrinkToFit="1"/>
    </xf>
    <xf numFmtId="0" fontId="45" fillId="0" borderId="17" xfId="0" applyFont="1" applyFill="1" applyBorder="1" applyAlignment="1">
      <alignment horizontal="center" vertical="center"/>
    </xf>
    <xf numFmtId="0" fontId="21" fillId="9" borderId="58" xfId="0" applyFont="1" applyFill="1" applyBorder="1" applyAlignment="1">
      <alignment horizontal="center" vertical="center" shrinkToFit="1"/>
    </xf>
    <xf numFmtId="0" fontId="21" fillId="9" borderId="59" xfId="0" applyFont="1" applyFill="1" applyBorder="1" applyAlignment="1">
      <alignment horizontal="center" vertical="center" shrinkToFit="1"/>
    </xf>
    <xf numFmtId="0" fontId="21" fillId="9" borderId="60" xfId="0" applyFont="1" applyFill="1" applyBorder="1" applyAlignment="1">
      <alignment horizontal="center" vertical="center" shrinkToFit="1"/>
    </xf>
    <xf numFmtId="0" fontId="21" fillId="9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/>
    </xf>
    <xf numFmtId="0" fontId="3" fillId="13" borderId="63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 vertical="center" shrinkToFit="1"/>
    </xf>
    <xf numFmtId="0" fontId="3" fillId="0" borderId="9" xfId="0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15" xfId="0" applyFont="1" applyFill="1" applyBorder="1" applyAlignment="1" applyProtection="1">
      <alignment horizontal="center" vertical="center" shrinkToFit="1"/>
      <protection locked="0"/>
    </xf>
    <xf numFmtId="0" fontId="3" fillId="0" borderId="16" xfId="0" applyFont="1" applyFill="1" applyBorder="1" applyAlignment="1" applyProtection="1">
      <alignment horizontal="center" vertical="center" shrinkToFit="1"/>
      <protection locked="0"/>
    </xf>
    <xf numFmtId="0" fontId="3" fillId="0" borderId="17" xfId="0" applyFont="1" applyFill="1" applyBorder="1" applyAlignment="1" applyProtection="1">
      <alignment horizontal="center" vertical="center" shrinkToFit="1"/>
      <protection locked="0"/>
    </xf>
    <xf numFmtId="0" fontId="3" fillId="0" borderId="29" xfId="0" applyFont="1" applyFill="1" applyBorder="1" applyAlignment="1" applyProtection="1">
      <alignment horizontal="center" vertical="center" shrinkToFit="1"/>
      <protection locked="0"/>
    </xf>
    <xf numFmtId="0" fontId="3" fillId="0" borderId="15" xfId="0" applyFont="1" applyFill="1" applyBorder="1" applyAlignment="1">
      <alignment horizontal="center" vertical="center" shrinkToFit="1"/>
    </xf>
    <xf numFmtId="0" fontId="3" fillId="0" borderId="68" xfId="0" applyFont="1" applyFill="1" applyBorder="1" applyAlignment="1">
      <alignment horizontal="center" vertical="center" shrinkToFit="1"/>
    </xf>
    <xf numFmtId="0" fontId="3" fillId="0" borderId="69" xfId="0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left" vertical="center" shrinkToFit="1"/>
    </xf>
    <xf numFmtId="0" fontId="4" fillId="0" borderId="2" xfId="0" applyFont="1" applyFill="1" applyBorder="1" applyAlignment="1">
      <alignment horizontal="left" vertical="center" shrinkToFit="1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right" vertical="center" shrinkToFit="1"/>
    </xf>
    <xf numFmtId="0" fontId="41" fillId="0" borderId="26" xfId="0" applyFont="1" applyFill="1" applyBorder="1" applyAlignment="1">
      <alignment horizontal="right" vertical="center"/>
    </xf>
    <xf numFmtId="0" fontId="41" fillId="0" borderId="27" xfId="0" applyFont="1" applyFill="1" applyBorder="1" applyAlignment="1">
      <alignment horizontal="right" vertical="center"/>
    </xf>
    <xf numFmtId="0" fontId="41" fillId="0" borderId="28" xfId="0" applyFont="1" applyFill="1" applyBorder="1" applyAlignment="1">
      <alignment horizontal="right" vertical="center"/>
    </xf>
    <xf numFmtId="0" fontId="3" fillId="4" borderId="13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right" vertical="center"/>
    </xf>
    <xf numFmtId="0" fontId="3" fillId="3" borderId="27" xfId="0" applyFont="1" applyFill="1" applyBorder="1" applyAlignment="1">
      <alignment horizontal="right" vertical="center"/>
    </xf>
    <xf numFmtId="0" fontId="3" fillId="3" borderId="28" xfId="0" applyFont="1" applyFill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41" fillId="0" borderId="14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12" xfId="0" applyFont="1" applyFill="1" applyBorder="1" applyAlignment="1">
      <alignment horizontal="right" vertical="center"/>
    </xf>
    <xf numFmtId="0" fontId="3" fillId="13" borderId="0" xfId="0" applyFont="1" applyFill="1" applyBorder="1" applyAlignment="1">
      <alignment horizontal="center"/>
    </xf>
    <xf numFmtId="0" fontId="3" fillId="13" borderId="45" xfId="0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 vertical="center" shrinkToFit="1"/>
    </xf>
    <xf numFmtId="0" fontId="21" fillId="8" borderId="33" xfId="0" applyFont="1" applyFill="1" applyBorder="1" applyAlignment="1">
      <alignment horizontal="center" vertical="center" shrinkToFit="1"/>
    </xf>
    <xf numFmtId="0" fontId="21" fillId="8" borderId="34" xfId="0" applyFont="1" applyFill="1" applyBorder="1" applyAlignment="1">
      <alignment horizontal="center" vertical="center" shrinkToFit="1"/>
    </xf>
    <xf numFmtId="0" fontId="21" fillId="8" borderId="0" xfId="0" applyFont="1" applyFill="1" applyBorder="1" applyAlignment="1">
      <alignment horizontal="center" vertical="center" shrinkToFit="1"/>
    </xf>
    <xf numFmtId="0" fontId="3" fillId="0" borderId="68" xfId="0" applyFont="1" applyFill="1" applyBorder="1" applyAlignment="1">
      <alignment horizontal="right" vertical="center" shrinkToFit="1"/>
    </xf>
    <xf numFmtId="0" fontId="3" fillId="0" borderId="69" xfId="0" applyFont="1" applyFill="1" applyBorder="1" applyAlignment="1">
      <alignment horizontal="right" vertical="center" shrinkToFit="1"/>
    </xf>
    <xf numFmtId="0" fontId="3" fillId="0" borderId="69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left" vertical="center" shrinkToFit="1"/>
    </xf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6" fillId="3" borderId="30" xfId="0" applyFont="1" applyFill="1" applyBorder="1" applyAlignment="1" applyProtection="1">
      <alignment horizontal="center" vertical="center" shrinkToFit="1"/>
      <protection locked="0"/>
    </xf>
    <xf numFmtId="167" fontId="3" fillId="4" borderId="10" xfId="0" applyNumberFormat="1" applyFont="1" applyFill="1" applyBorder="1" applyAlignment="1">
      <alignment horizontal="center" vertical="center" shrinkToFit="1"/>
    </xf>
    <xf numFmtId="167" fontId="3" fillId="4" borderId="13" xfId="0" applyNumberFormat="1" applyFont="1" applyFill="1" applyBorder="1" applyAlignment="1">
      <alignment horizontal="center" vertical="center" shrinkToFit="1"/>
    </xf>
    <xf numFmtId="167" fontId="3" fillId="4" borderId="11" xfId="0" applyNumberFormat="1" applyFont="1" applyFill="1" applyBorder="1" applyAlignment="1">
      <alignment horizontal="center" vertical="center" shrinkToFit="1"/>
    </xf>
    <xf numFmtId="0" fontId="23" fillId="0" borderId="14" xfId="0" applyFont="1" applyFill="1" applyBorder="1" applyAlignment="1">
      <alignment horizontal="left" vertical="center" shrinkToFit="1"/>
    </xf>
    <xf numFmtId="0" fontId="23" fillId="0" borderId="0" xfId="0" applyFont="1" applyFill="1" applyBorder="1" applyAlignment="1">
      <alignment horizontal="left" vertical="center" shrinkToFit="1"/>
    </xf>
    <xf numFmtId="0" fontId="23" fillId="0" borderId="73" xfId="0" applyFont="1" applyFill="1" applyBorder="1" applyAlignment="1">
      <alignment horizontal="left" vertical="center" shrinkToFit="1"/>
    </xf>
    <xf numFmtId="0" fontId="22" fillId="0" borderId="14" xfId="0" applyFont="1" applyFill="1" applyBorder="1" applyAlignment="1">
      <alignment horizontal="left" vertical="center" shrinkToFit="1"/>
    </xf>
    <xf numFmtId="0" fontId="22" fillId="0" borderId="0" xfId="0" applyFont="1" applyFill="1" applyBorder="1" applyAlignment="1">
      <alignment horizontal="left" vertical="center" shrinkToFit="1"/>
    </xf>
    <xf numFmtId="0" fontId="22" fillId="0" borderId="73" xfId="0" applyFont="1" applyFill="1" applyBorder="1" applyAlignment="1">
      <alignment horizontal="left" vertical="center" shrinkToFit="1"/>
    </xf>
    <xf numFmtId="0" fontId="3" fillId="0" borderId="9" xfId="0" quotePrefix="1" applyFont="1" applyFill="1" applyBorder="1" applyAlignment="1">
      <alignment horizontal="right" vertical="center" shrinkToFit="1"/>
    </xf>
    <xf numFmtId="0" fontId="3" fillId="0" borderId="14" xfId="0" quotePrefix="1" applyFont="1" applyFill="1" applyBorder="1" applyAlignment="1" applyProtection="1">
      <alignment horizontal="left" vertical="center" shrinkToFit="1"/>
    </xf>
    <xf numFmtId="0" fontId="3" fillId="0" borderId="0" xfId="0" applyFont="1" applyFill="1" applyBorder="1" applyAlignment="1" applyProtection="1">
      <alignment horizontal="left" vertical="center" shrinkToFit="1"/>
    </xf>
    <xf numFmtId="0" fontId="3" fillId="0" borderId="73" xfId="0" applyFont="1" applyFill="1" applyBorder="1" applyAlignment="1" applyProtection="1">
      <alignment horizontal="left" vertical="center" shrinkToFit="1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67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right" vertical="center" shrinkToFit="1"/>
    </xf>
    <xf numFmtId="0" fontId="3" fillId="3" borderId="12" xfId="0" applyFont="1" applyFill="1" applyBorder="1" applyAlignment="1">
      <alignment horizontal="right" vertical="center" shrinkToFit="1"/>
    </xf>
    <xf numFmtId="0" fontId="3" fillId="0" borderId="14" xfId="0" quotePrefix="1" applyFont="1" applyFill="1" applyBorder="1" applyAlignment="1">
      <alignment horizontal="left" vertical="center" shrinkToFit="1"/>
    </xf>
    <xf numFmtId="166" fontId="8" fillId="3" borderId="0" xfId="0" applyNumberFormat="1" applyFont="1" applyFill="1" applyBorder="1" applyAlignment="1">
      <alignment horizontal="center" vertical="center" shrinkToFit="1"/>
    </xf>
    <xf numFmtId="166" fontId="3" fillId="3" borderId="0" xfId="0" applyNumberFormat="1" applyFont="1" applyFill="1" applyBorder="1" applyAlignment="1">
      <alignment horizontal="center" vertical="center" shrinkToFit="1"/>
    </xf>
    <xf numFmtId="0" fontId="47" fillId="0" borderId="61" xfId="0" applyFont="1" applyFill="1" applyBorder="1" applyAlignment="1" applyProtection="1">
      <alignment horizontal="center" vertical="center"/>
      <protection locked="0"/>
    </xf>
    <xf numFmtId="0" fontId="47" fillId="0" borderId="62" xfId="0" applyFont="1" applyFill="1" applyBorder="1" applyAlignment="1" applyProtection="1">
      <alignment horizontal="center" vertical="center"/>
      <protection locked="0"/>
    </xf>
    <xf numFmtId="0" fontId="46" fillId="0" borderId="51" xfId="0" applyFont="1" applyFill="1" applyBorder="1" applyAlignment="1" applyProtection="1">
      <alignment horizontal="center" vertical="center"/>
      <protection locked="0"/>
    </xf>
    <xf numFmtId="0" fontId="47" fillId="0" borderId="53" xfId="0" applyFont="1" applyFill="1" applyBorder="1" applyAlignment="1" applyProtection="1">
      <alignment horizontal="center" vertical="center"/>
      <protection locked="0"/>
    </xf>
    <xf numFmtId="0" fontId="3" fillId="13" borderId="54" xfId="0" applyFont="1" applyFill="1" applyBorder="1" applyAlignment="1">
      <alignment horizontal="center"/>
    </xf>
    <xf numFmtId="0" fontId="48" fillId="3" borderId="112" xfId="0" applyFont="1" applyFill="1" applyBorder="1" applyAlignment="1">
      <alignment horizontal="center" vertical="center" shrinkToFit="1"/>
    </xf>
    <xf numFmtId="0" fontId="48" fillId="3" borderId="0" xfId="0" applyFont="1" applyFill="1" applyBorder="1" applyAlignment="1">
      <alignment horizontal="center" vertical="center" shrinkToFit="1"/>
    </xf>
    <xf numFmtId="0" fontId="48" fillId="3" borderId="113" xfId="0" applyFont="1" applyFill="1" applyBorder="1" applyAlignment="1">
      <alignment horizontal="center" vertical="center" shrinkToFit="1"/>
    </xf>
    <xf numFmtId="2" fontId="3" fillId="0" borderId="0" xfId="0" applyNumberFormat="1" applyFont="1" applyFill="1" applyBorder="1" applyAlignment="1">
      <alignment horizontal="right" vertical="center" shrinkToFit="1"/>
    </xf>
    <xf numFmtId="2" fontId="3" fillId="0" borderId="15" xfId="0" applyNumberFormat="1" applyFont="1" applyFill="1" applyBorder="1" applyAlignment="1">
      <alignment horizontal="right" vertical="center" shrinkToFit="1"/>
    </xf>
    <xf numFmtId="2" fontId="3" fillId="0" borderId="9" xfId="0" applyNumberFormat="1" applyFont="1" applyFill="1" applyBorder="1" applyAlignment="1">
      <alignment horizontal="right" vertical="center" shrinkToFit="1"/>
    </xf>
    <xf numFmtId="2" fontId="3" fillId="0" borderId="12" xfId="0" applyNumberFormat="1" applyFont="1" applyFill="1" applyBorder="1" applyAlignment="1">
      <alignment horizontal="right" vertical="center" shrinkToFit="1"/>
    </xf>
    <xf numFmtId="164" fontId="3" fillId="4" borderId="23" xfId="0" applyNumberFormat="1" applyFont="1" applyFill="1" applyBorder="1" applyAlignment="1">
      <alignment horizontal="center" vertical="center" shrinkToFit="1"/>
    </xf>
    <xf numFmtId="164" fontId="3" fillId="4" borderId="24" xfId="0" applyNumberFormat="1" applyFont="1" applyFill="1" applyBorder="1" applyAlignment="1">
      <alignment horizontal="center" vertical="center" shrinkToFit="1"/>
    </xf>
    <xf numFmtId="164" fontId="3" fillId="4" borderId="25" xfId="0" applyNumberFormat="1" applyFont="1" applyFill="1" applyBorder="1" applyAlignment="1">
      <alignment horizontal="center" vertical="center" shrinkToFit="1"/>
    </xf>
    <xf numFmtId="0" fontId="0" fillId="0" borderId="0" xfId="0" applyFont="1" applyBorder="1" applyAlignment="1">
      <alignment horizontal="right" vertical="center" shrinkToFit="1"/>
    </xf>
    <xf numFmtId="0" fontId="0" fillId="0" borderId="12" xfId="0" applyFont="1" applyBorder="1" applyAlignment="1">
      <alignment horizontal="right" vertical="center" shrinkToFit="1"/>
    </xf>
    <xf numFmtId="0" fontId="3" fillId="4" borderId="2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6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shrinkToFit="1"/>
    </xf>
    <xf numFmtId="0" fontId="3" fillId="4" borderId="19" xfId="0" applyFont="1" applyFill="1" applyBorder="1" applyAlignment="1">
      <alignment horizontal="center" vertical="center" shrinkToFit="1"/>
    </xf>
    <xf numFmtId="0" fontId="3" fillId="0" borderId="17" xfId="0" applyFont="1" applyFill="1" applyBorder="1" applyAlignment="1">
      <alignment horizontal="right" vertical="center" shrinkToFit="1"/>
    </xf>
    <xf numFmtId="0" fontId="3" fillId="0" borderId="20" xfId="0" applyFont="1" applyFill="1" applyBorder="1" applyAlignment="1">
      <alignment horizontal="right" vertical="center" shrinkToFit="1"/>
    </xf>
    <xf numFmtId="0" fontId="3" fillId="4" borderId="21" xfId="0" applyFont="1" applyFill="1" applyBorder="1" applyAlignment="1">
      <alignment horizontal="center" vertical="center" shrinkToFit="1"/>
    </xf>
    <xf numFmtId="0" fontId="3" fillId="0" borderId="22" xfId="0" applyFont="1" applyFill="1" applyBorder="1" applyAlignment="1">
      <alignment horizontal="right" vertical="center" shrinkToFit="1"/>
    </xf>
    <xf numFmtId="0" fontId="3" fillId="3" borderId="21" xfId="0" applyFont="1" applyFill="1" applyBorder="1" applyAlignment="1">
      <alignment horizontal="center" vertical="center" shrinkToFit="1"/>
    </xf>
    <xf numFmtId="0" fontId="3" fillId="3" borderId="17" xfId="0" applyFont="1" applyFill="1" applyBorder="1" applyAlignment="1">
      <alignment horizontal="center" vertical="center" shrinkToFit="1"/>
    </xf>
    <xf numFmtId="0" fontId="3" fillId="0" borderId="7" xfId="0" applyFont="1" applyFill="1" applyBorder="1" applyAlignment="1">
      <alignment horizontal="right" vertical="center" shrinkToFit="1"/>
    </xf>
    <xf numFmtId="0" fontId="3" fillId="0" borderId="2" xfId="0" applyFont="1" applyFill="1" applyBorder="1" applyAlignment="1">
      <alignment horizontal="right" vertical="center" shrinkToFit="1"/>
    </xf>
    <xf numFmtId="0" fontId="3" fillId="0" borderId="5" xfId="0" applyFont="1" applyFill="1" applyBorder="1" applyAlignment="1">
      <alignment horizontal="right" vertical="center" shrinkToFit="1"/>
    </xf>
    <xf numFmtId="1" fontId="3" fillId="4" borderId="3" xfId="0" applyNumberFormat="1" applyFont="1" applyFill="1" applyBorder="1" applyAlignment="1">
      <alignment horizontal="center" vertical="center" shrinkToFit="1"/>
    </xf>
    <xf numFmtId="1" fontId="3" fillId="4" borderId="4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horizontal="center" vertical="center" shrinkToFit="1"/>
    </xf>
    <xf numFmtId="15" fontId="3" fillId="4" borderId="10" xfId="0" applyNumberFormat="1" applyFont="1" applyFill="1" applyBorder="1" applyAlignment="1">
      <alignment horizontal="center" vertical="center" shrinkToFit="1"/>
    </xf>
    <xf numFmtId="15" fontId="3" fillId="4" borderId="11" xfId="0" applyNumberFormat="1" applyFont="1" applyFill="1" applyBorder="1" applyAlignment="1">
      <alignment horizontal="center" vertical="center" shrinkToFit="1"/>
    </xf>
    <xf numFmtId="0" fontId="3" fillId="0" borderId="14" xfId="0" applyFont="1" applyFill="1" applyBorder="1" applyAlignment="1">
      <alignment horizontal="right" vertical="center" shrinkToFit="1"/>
    </xf>
    <xf numFmtId="14" fontId="3" fillId="4" borderId="3" xfId="0" applyNumberFormat="1" applyFont="1" applyFill="1" applyBorder="1" applyAlignment="1">
      <alignment horizontal="center" vertical="center" shrinkToFit="1"/>
    </xf>
    <xf numFmtId="14" fontId="3" fillId="4" borderId="4" xfId="0" applyNumberFormat="1" applyFont="1" applyFill="1" applyBorder="1" applyAlignment="1">
      <alignment horizontal="center" vertical="center" shrinkToFit="1"/>
    </xf>
    <xf numFmtId="0" fontId="3" fillId="4" borderId="3" xfId="0" quotePrefix="1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horizontal="center" vertical="center" shrinkToFit="1"/>
    </xf>
    <xf numFmtId="0" fontId="3" fillId="4" borderId="4" xfId="0" applyFont="1" applyFill="1" applyBorder="1" applyAlignment="1">
      <alignment horizontal="center" vertical="center" shrinkToFit="1"/>
    </xf>
    <xf numFmtId="0" fontId="3" fillId="4" borderId="3" xfId="0" applyFont="1" applyFill="1" applyBorder="1" applyAlignment="1">
      <alignment horizontal="center" vertical="center" shrinkToFit="1"/>
    </xf>
    <xf numFmtId="49" fontId="2" fillId="3" borderId="0" xfId="0" applyNumberFormat="1" applyFont="1" applyFill="1" applyBorder="1" applyAlignment="1">
      <alignment horizontal="center" vertical="center" shrinkToFit="1"/>
    </xf>
    <xf numFmtId="0" fontId="2" fillId="3" borderId="0" xfId="0" applyNumberFormat="1" applyFont="1" applyFill="1" applyBorder="1" applyAlignment="1">
      <alignment horizontal="center" vertical="center" shrinkToFit="1"/>
    </xf>
    <xf numFmtId="0" fontId="35" fillId="0" borderId="23" xfId="0" applyFont="1" applyFill="1" applyBorder="1" applyAlignment="1" applyProtection="1">
      <alignment horizontal="center" vertical="center"/>
      <protection locked="0"/>
    </xf>
    <xf numFmtId="0" fontId="36" fillId="0" borderId="25" xfId="0" applyFont="1" applyFill="1" applyBorder="1" applyAlignment="1" applyProtection="1">
      <alignment horizontal="center" vertical="center"/>
      <protection locked="0"/>
    </xf>
    <xf numFmtId="0" fontId="36" fillId="0" borderId="26" xfId="0" applyFont="1" applyFill="1" applyBorder="1" applyAlignment="1" applyProtection="1">
      <alignment horizontal="center" vertical="center"/>
      <protection locked="0"/>
    </xf>
    <xf numFmtId="0" fontId="36" fillId="0" borderId="28" xfId="0" applyFont="1" applyFill="1" applyBorder="1" applyAlignment="1" applyProtection="1">
      <alignment horizontal="center" vertical="center"/>
      <protection locked="0"/>
    </xf>
    <xf numFmtId="0" fontId="4" fillId="4" borderId="24" xfId="0" applyNumberFormat="1" applyFont="1" applyFill="1" applyBorder="1" applyAlignment="1">
      <alignment horizontal="center" vertical="center" shrinkToFit="1"/>
    </xf>
    <xf numFmtId="0" fontId="4" fillId="4" borderId="25" xfId="0" applyNumberFormat="1" applyFont="1" applyFill="1" applyBorder="1" applyAlignment="1">
      <alignment horizontal="center" vertical="center" shrinkToFit="1"/>
    </xf>
    <xf numFmtId="0" fontId="4" fillId="4" borderId="27" xfId="0" applyNumberFormat="1" applyFont="1" applyFill="1" applyBorder="1" applyAlignment="1">
      <alignment horizontal="center" vertical="center" shrinkToFit="1"/>
    </xf>
    <xf numFmtId="0" fontId="4" fillId="4" borderId="28" xfId="0" applyNumberFormat="1" applyFont="1" applyFill="1" applyBorder="1" applyAlignment="1">
      <alignment horizontal="center" vertical="center" shrinkToFit="1"/>
    </xf>
    <xf numFmtId="170" fontId="4" fillId="4" borderId="24" xfId="0" applyNumberFormat="1" applyFont="1" applyFill="1" applyBorder="1" applyAlignment="1">
      <alignment horizontal="center" vertical="center" shrinkToFit="1"/>
    </xf>
    <xf numFmtId="170" fontId="4" fillId="4" borderId="25" xfId="0" applyNumberFormat="1" applyFont="1" applyFill="1" applyBorder="1" applyAlignment="1">
      <alignment horizontal="center" vertical="center" shrinkToFit="1"/>
    </xf>
    <xf numFmtId="170" fontId="4" fillId="4" borderId="27" xfId="0" applyNumberFormat="1" applyFont="1" applyFill="1" applyBorder="1" applyAlignment="1">
      <alignment horizontal="center" vertical="center" shrinkToFit="1"/>
    </xf>
    <xf numFmtId="170" fontId="4" fillId="4" borderId="28" xfId="0" applyNumberFormat="1" applyFont="1" applyFill="1" applyBorder="1" applyAlignment="1">
      <alignment horizontal="center" vertical="center" shrinkToFit="1"/>
    </xf>
    <xf numFmtId="166" fontId="4" fillId="4" borderId="24" xfId="0" applyNumberFormat="1" applyFont="1" applyFill="1" applyBorder="1" applyAlignment="1">
      <alignment horizontal="center" vertical="center" shrinkToFit="1"/>
    </xf>
    <xf numFmtId="166" fontId="4" fillId="4" borderId="25" xfId="0" applyNumberFormat="1" applyFont="1" applyFill="1" applyBorder="1" applyAlignment="1">
      <alignment horizontal="center" vertical="center" shrinkToFit="1"/>
    </xf>
    <xf numFmtId="166" fontId="4" fillId="4" borderId="27" xfId="0" applyNumberFormat="1" applyFont="1" applyFill="1" applyBorder="1" applyAlignment="1">
      <alignment horizontal="center" vertical="center" shrinkToFit="1"/>
    </xf>
    <xf numFmtId="166" fontId="4" fillId="4" borderId="28" xfId="0" applyNumberFormat="1" applyFont="1" applyFill="1" applyBorder="1" applyAlignment="1">
      <alignment horizontal="center" vertical="center" shrinkToFit="1"/>
    </xf>
    <xf numFmtId="0" fontId="35" fillId="0" borderId="42" xfId="0" applyFont="1" applyFill="1" applyBorder="1" applyAlignment="1" applyProtection="1">
      <alignment horizontal="center" vertical="center"/>
      <protection locked="0"/>
    </xf>
    <xf numFmtId="0" fontId="36" fillId="0" borderId="44" xfId="0" applyFont="1" applyFill="1" applyBorder="1" applyAlignment="1" applyProtection="1">
      <alignment horizontal="center" vertical="center"/>
      <protection locked="0"/>
    </xf>
    <xf numFmtId="0" fontId="3" fillId="13" borderId="45" xfId="0" applyFont="1" applyFill="1" applyBorder="1" applyAlignment="1">
      <alignment horizontal="center" vertical="center" shrinkToFit="1"/>
    </xf>
    <xf numFmtId="0" fontId="3" fillId="0" borderId="81" xfId="0" applyFont="1" applyFill="1" applyBorder="1" applyAlignment="1">
      <alignment horizontal="center" vertical="center" shrinkToFit="1"/>
    </xf>
    <xf numFmtId="0" fontId="3" fillId="13" borderId="12" xfId="0" applyFont="1" applyFill="1" applyBorder="1" applyAlignment="1">
      <alignment horizontal="center" vertical="center" shrinkToFit="1"/>
    </xf>
    <xf numFmtId="170" fontId="4" fillId="4" borderId="23" xfId="0" applyNumberFormat="1" applyFont="1" applyFill="1" applyBorder="1" applyAlignment="1">
      <alignment horizontal="center" vertical="center" shrinkToFit="1"/>
    </xf>
    <xf numFmtId="170" fontId="4" fillId="4" borderId="26" xfId="0" applyNumberFormat="1" applyFont="1" applyFill="1" applyBorder="1" applyAlignment="1">
      <alignment horizontal="center" vertical="center" shrinkToFit="1"/>
    </xf>
    <xf numFmtId="2" fontId="9" fillId="4" borderId="23" xfId="0" applyNumberFormat="1" applyFont="1" applyFill="1" applyBorder="1" applyAlignment="1">
      <alignment horizontal="center" vertical="center" shrinkToFit="1"/>
    </xf>
    <xf numFmtId="2" fontId="9" fillId="4" borderId="25" xfId="0" applyNumberFormat="1" applyFont="1" applyFill="1" applyBorder="1" applyAlignment="1">
      <alignment horizontal="center" vertical="center" shrinkToFit="1"/>
    </xf>
    <xf numFmtId="2" fontId="9" fillId="4" borderId="26" xfId="0" applyNumberFormat="1" applyFont="1" applyFill="1" applyBorder="1" applyAlignment="1">
      <alignment horizontal="center" vertical="center" shrinkToFit="1"/>
    </xf>
    <xf numFmtId="2" fontId="9" fillId="4" borderId="28" xfId="0" applyNumberFormat="1" applyFont="1" applyFill="1" applyBorder="1" applyAlignment="1">
      <alignment horizontal="center" vertical="center" shrinkToFit="1"/>
    </xf>
    <xf numFmtId="166" fontId="9" fillId="4" borderId="30" xfId="0" applyNumberFormat="1" applyFont="1" applyFill="1" applyBorder="1" applyAlignment="1">
      <alignment horizontal="center" vertical="center" shrinkToFit="1"/>
    </xf>
    <xf numFmtId="0" fontId="3" fillId="3" borderId="15" xfId="0" applyFont="1" applyFill="1" applyBorder="1" applyAlignment="1">
      <alignment horizontal="right" vertical="center" shrinkToFit="1"/>
    </xf>
    <xf numFmtId="0" fontId="3" fillId="3" borderId="94" xfId="0" applyFont="1" applyFill="1" applyBorder="1" applyAlignment="1">
      <alignment horizontal="left" vertical="center" shrinkToFit="1"/>
    </xf>
    <xf numFmtId="0" fontId="3" fillId="0" borderId="94" xfId="0" applyFont="1" applyFill="1" applyBorder="1" applyAlignment="1">
      <alignment horizontal="left" vertical="center" shrinkToFit="1"/>
    </xf>
    <xf numFmtId="0" fontId="35" fillId="0" borderId="24" xfId="0" quotePrefix="1" applyFont="1" applyFill="1" applyBorder="1" applyAlignment="1" applyProtection="1">
      <alignment horizontal="center" vertical="center"/>
      <protection locked="0"/>
    </xf>
    <xf numFmtId="0" fontId="36" fillId="0" borderId="27" xfId="0" applyFont="1" applyFill="1" applyBorder="1" applyAlignment="1" applyProtection="1">
      <alignment horizontal="center" vertical="center"/>
      <protection locked="0"/>
    </xf>
    <xf numFmtId="16" fontId="3" fillId="4" borderId="10" xfId="0" quotePrefix="1" applyNumberFormat="1" applyFont="1" applyFill="1" applyBorder="1" applyAlignment="1">
      <alignment horizontal="center" vertical="center" shrinkToFit="1"/>
    </xf>
    <xf numFmtId="16" fontId="3" fillId="4" borderId="13" xfId="0" quotePrefix="1" applyNumberFormat="1" applyFont="1" applyFill="1" applyBorder="1" applyAlignment="1">
      <alignment horizontal="center" vertical="center" shrinkToFit="1"/>
    </xf>
    <xf numFmtId="16" fontId="3" fillId="4" borderId="11" xfId="0" quotePrefix="1" applyNumberFormat="1" applyFont="1" applyFill="1" applyBorder="1" applyAlignment="1">
      <alignment horizontal="center" vertical="center" shrinkToFit="1"/>
    </xf>
    <xf numFmtId="0" fontId="3" fillId="13" borderId="0" xfId="0" applyFont="1" applyFill="1" applyBorder="1" applyAlignment="1">
      <alignment horizontal="left" vertical="center" shrinkToFit="1"/>
    </xf>
    <xf numFmtId="0" fontId="3" fillId="13" borderId="43" xfId="0" applyFont="1" applyFill="1" applyBorder="1" applyAlignment="1">
      <alignment horizontal="left" vertical="center" shrinkToFit="1"/>
    </xf>
    <xf numFmtId="0" fontId="3" fillId="13" borderId="98" xfId="0" applyFont="1" applyFill="1" applyBorder="1" applyAlignment="1">
      <alignment horizontal="left" vertical="center" shrinkToFit="1"/>
    </xf>
    <xf numFmtId="0" fontId="3" fillId="13" borderId="47" xfId="0" applyFont="1" applyFill="1" applyBorder="1" applyAlignment="1">
      <alignment horizontal="left" vertical="center" shrinkToFit="1"/>
    </xf>
    <xf numFmtId="166" fontId="4" fillId="4" borderId="23" xfId="0" applyNumberFormat="1" applyFont="1" applyFill="1" applyBorder="1" applyAlignment="1">
      <alignment horizontal="center" vertical="center" shrinkToFit="1"/>
    </xf>
    <xf numFmtId="166" fontId="4" fillId="4" borderId="26" xfId="0" applyNumberFormat="1" applyFont="1" applyFill="1" applyBorder="1" applyAlignment="1">
      <alignment horizontal="center" vertical="center" shrinkToFit="1"/>
    </xf>
    <xf numFmtId="0" fontId="4" fillId="4" borderId="23" xfId="0" applyNumberFormat="1" applyFont="1" applyFill="1" applyBorder="1" applyAlignment="1">
      <alignment horizontal="center" vertical="center" shrinkToFit="1"/>
    </xf>
    <xf numFmtId="0" fontId="4" fillId="4" borderId="26" xfId="0" applyNumberFormat="1" applyFont="1" applyFill="1" applyBorder="1" applyAlignment="1">
      <alignment horizontal="center" vertical="center" shrinkToFit="1"/>
    </xf>
    <xf numFmtId="166" fontId="3" fillId="4" borderId="78" xfId="0" applyNumberFormat="1" applyFont="1" applyFill="1" applyBorder="1" applyAlignment="1">
      <alignment horizontal="center" vertical="center" shrinkToFit="1"/>
    </xf>
    <xf numFmtId="166" fontId="3" fillId="4" borderId="79" xfId="0" applyNumberFormat="1" applyFont="1" applyFill="1" applyBorder="1" applyAlignment="1">
      <alignment horizontal="center" vertical="center" shrinkToFit="1"/>
    </xf>
    <xf numFmtId="166" fontId="3" fillId="4" borderId="80" xfId="0" applyNumberFormat="1" applyFont="1" applyFill="1" applyBorder="1" applyAlignment="1">
      <alignment horizontal="center" vertical="center" shrinkToFit="1"/>
    </xf>
    <xf numFmtId="0" fontId="35" fillId="3" borderId="1" xfId="0" applyFont="1" applyFill="1" applyBorder="1" applyAlignment="1" applyProtection="1">
      <alignment horizontal="center" vertical="center" shrinkToFit="1"/>
      <protection locked="0"/>
    </xf>
    <xf numFmtId="0" fontId="35" fillId="3" borderId="2" xfId="0" applyFont="1" applyFill="1" applyBorder="1" applyAlignment="1" applyProtection="1">
      <alignment horizontal="center" vertical="center" shrinkToFit="1"/>
      <protection locked="0"/>
    </xf>
    <xf numFmtId="0" fontId="35" fillId="3" borderId="67" xfId="0" applyFont="1" applyFill="1" applyBorder="1" applyAlignment="1" applyProtection="1">
      <alignment horizontal="center" vertical="center" shrinkToFit="1"/>
      <protection locked="0"/>
    </xf>
    <xf numFmtId="0" fontId="35" fillId="3" borderId="68" xfId="0" applyFont="1" applyFill="1" applyBorder="1" applyAlignment="1" applyProtection="1">
      <alignment horizontal="center" vertical="center" shrinkToFit="1"/>
      <protection locked="0"/>
    </xf>
    <xf numFmtId="0" fontId="35" fillId="3" borderId="69" xfId="0" applyFont="1" applyFill="1" applyBorder="1" applyAlignment="1" applyProtection="1">
      <alignment horizontal="center" vertical="center" shrinkToFit="1"/>
      <protection locked="0"/>
    </xf>
    <xf numFmtId="0" fontId="35" fillId="3" borderId="70" xfId="0" applyFont="1" applyFill="1" applyBorder="1" applyAlignment="1" applyProtection="1">
      <alignment horizontal="center" vertical="center" shrinkToFit="1"/>
      <protection locked="0"/>
    </xf>
    <xf numFmtId="171" fontId="3" fillId="4" borderId="10" xfId="0" applyNumberFormat="1" applyFont="1" applyFill="1" applyBorder="1" applyAlignment="1">
      <alignment horizontal="center"/>
    </xf>
    <xf numFmtId="171" fontId="3" fillId="4" borderId="13" xfId="0" applyNumberFormat="1" applyFont="1" applyFill="1" applyBorder="1" applyAlignment="1">
      <alignment horizontal="center"/>
    </xf>
    <xf numFmtId="171" fontId="3" fillId="4" borderId="11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 vertical="center" shrinkToFit="1"/>
    </xf>
    <xf numFmtId="0" fontId="3" fillId="4" borderId="24" xfId="0" applyFont="1" applyFill="1" applyBorder="1" applyAlignment="1">
      <alignment horizontal="center" vertical="center" shrinkToFit="1"/>
    </xf>
    <xf numFmtId="0" fontId="3" fillId="4" borderId="25" xfId="0" applyFont="1" applyFill="1" applyBorder="1" applyAlignment="1">
      <alignment horizontal="center" vertical="center" shrinkToFit="1"/>
    </xf>
    <xf numFmtId="0" fontId="35" fillId="0" borderId="24" xfId="0" applyFont="1" applyFill="1" applyBorder="1" applyAlignment="1" applyProtection="1">
      <alignment horizontal="center" vertical="center"/>
      <protection locked="0"/>
    </xf>
    <xf numFmtId="0" fontId="35" fillId="0" borderId="51" xfId="0" applyFont="1" applyFill="1" applyBorder="1" applyAlignment="1" applyProtection="1">
      <alignment horizontal="center" vertical="center"/>
      <protection locked="0"/>
    </xf>
    <xf numFmtId="0" fontId="36" fillId="0" borderId="53" xfId="0" applyFont="1" applyFill="1" applyBorder="1" applyAlignment="1" applyProtection="1">
      <alignment horizontal="center" vertical="center"/>
      <protection locked="0"/>
    </xf>
    <xf numFmtId="0" fontId="35" fillId="3" borderId="23" xfId="0" quotePrefix="1" applyFont="1" applyFill="1" applyBorder="1" applyAlignment="1" applyProtection="1">
      <alignment horizontal="center" vertical="center"/>
      <protection locked="0"/>
    </xf>
    <xf numFmtId="0" fontId="36" fillId="3" borderId="25" xfId="0" applyFont="1" applyFill="1" applyBorder="1" applyAlignment="1" applyProtection="1">
      <alignment horizontal="center" vertical="center"/>
      <protection locked="0"/>
    </xf>
    <xf numFmtId="0" fontId="36" fillId="3" borderId="26" xfId="0" applyFont="1" applyFill="1" applyBorder="1" applyAlignment="1" applyProtection="1">
      <alignment horizontal="center" vertical="center"/>
      <protection locked="0"/>
    </xf>
    <xf numFmtId="0" fontId="36" fillId="3" borderId="28" xfId="0" applyFont="1" applyFill="1" applyBorder="1" applyAlignment="1" applyProtection="1">
      <alignment horizontal="center" vertical="center"/>
      <protection locked="0"/>
    </xf>
    <xf numFmtId="0" fontId="3" fillId="13" borderId="54" xfId="0" applyFont="1" applyFill="1" applyBorder="1" applyAlignment="1">
      <alignment horizontal="center" vertical="center" shrinkToFit="1"/>
    </xf>
    <xf numFmtId="0" fontId="23" fillId="3" borderId="0" xfId="0" applyFont="1" applyFill="1" applyBorder="1" applyAlignment="1">
      <alignment horizontal="left" vertical="center" shrinkToFit="1"/>
    </xf>
    <xf numFmtId="0" fontId="35" fillId="3" borderId="23" xfId="0" applyFont="1" applyFill="1" applyBorder="1" applyAlignment="1" applyProtection="1">
      <alignment horizontal="center" vertical="center"/>
      <protection locked="0"/>
    </xf>
    <xf numFmtId="0" fontId="13" fillId="7" borderId="76" xfId="0" applyFont="1" applyFill="1" applyBorder="1" applyAlignment="1">
      <alignment horizontal="center" vertical="center"/>
    </xf>
    <xf numFmtId="0" fontId="13" fillId="7" borderId="31" xfId="0" applyFont="1" applyFill="1" applyBorder="1" applyAlignment="1">
      <alignment horizontal="center" vertical="center"/>
    </xf>
    <xf numFmtId="0" fontId="13" fillId="7" borderId="104" xfId="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/>
    </xf>
    <xf numFmtId="0" fontId="13" fillId="7" borderId="28" xfId="0" applyFont="1" applyFill="1" applyBorder="1" applyAlignment="1">
      <alignment horizontal="center" vertical="center"/>
    </xf>
    <xf numFmtId="0" fontId="14" fillId="4" borderId="83" xfId="0" applyFont="1" applyFill="1" applyBorder="1" applyAlignment="1">
      <alignment horizontal="right"/>
    </xf>
    <xf numFmtId="0" fontId="14" fillId="4" borderId="83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right"/>
    </xf>
    <xf numFmtId="166" fontId="12" fillId="6" borderId="105" xfId="1" applyNumberFormat="1" applyFill="1" applyBorder="1" applyAlignment="1">
      <alignment horizontal="center"/>
    </xf>
    <xf numFmtId="166" fontId="12" fillId="6" borderId="106" xfId="1" applyNumberFormat="1" applyFill="1" applyBorder="1" applyAlignment="1">
      <alignment horizontal="center"/>
    </xf>
    <xf numFmtId="0" fontId="13" fillId="7" borderId="24" xfId="0" applyFont="1" applyFill="1" applyBorder="1" applyAlignment="1">
      <alignment horizontal="center" vertical="center"/>
    </xf>
    <xf numFmtId="0" fontId="13" fillId="7" borderId="107" xfId="0" applyFont="1" applyFill="1" applyBorder="1" applyAlignment="1">
      <alignment horizontal="center" vertical="center"/>
    </xf>
    <xf numFmtId="0" fontId="13" fillId="7" borderId="69" xfId="0" applyFont="1" applyFill="1" applyBorder="1" applyAlignment="1">
      <alignment horizontal="center" vertical="center"/>
    </xf>
    <xf numFmtId="0" fontId="13" fillId="7" borderId="108" xfId="0" applyFont="1" applyFill="1" applyBorder="1" applyAlignment="1">
      <alignment horizontal="center" vertical="center"/>
    </xf>
    <xf numFmtId="166" fontId="15" fillId="5" borderId="88" xfId="1" applyNumberFormat="1" applyFont="1" applyBorder="1" applyAlignment="1">
      <alignment horizontal="center"/>
    </xf>
    <xf numFmtId="166" fontId="15" fillId="5" borderId="89" xfId="1" applyNumberFormat="1" applyFont="1" applyBorder="1" applyAlignment="1">
      <alignment horizontal="center"/>
    </xf>
    <xf numFmtId="166" fontId="12" fillId="6" borderId="90" xfId="1" applyNumberFormat="1" applyFill="1" applyBorder="1" applyAlignment="1">
      <alignment horizontal="center"/>
    </xf>
    <xf numFmtId="166" fontId="12" fillId="6" borderId="91" xfId="1" applyNumberFormat="1" applyFill="1" applyBorder="1" applyAlignment="1">
      <alignment horizontal="center"/>
    </xf>
    <xf numFmtId="0" fontId="13" fillId="7" borderId="27" xfId="0" applyFont="1" applyFill="1" applyBorder="1" applyAlignment="1">
      <alignment horizontal="center" vertical="center"/>
    </xf>
    <xf numFmtId="0" fontId="3" fillId="13" borderId="60" xfId="0" applyFont="1" applyFill="1" applyBorder="1" applyAlignment="1">
      <alignment horizontal="right" vertical="center" shrinkToFit="1"/>
    </xf>
    <xf numFmtId="0" fontId="3" fillId="13" borderId="0" xfId="0" applyFont="1" applyFill="1" applyBorder="1" applyAlignment="1">
      <alignment horizontal="right" vertical="center" shrinkToFit="1"/>
    </xf>
    <xf numFmtId="0" fontId="3" fillId="13" borderId="64" xfId="0" applyFont="1" applyFill="1" applyBorder="1" applyAlignment="1">
      <alignment horizontal="right" vertical="center" shrinkToFit="1"/>
    </xf>
    <xf numFmtId="0" fontId="3" fillId="13" borderId="65" xfId="0" applyFont="1" applyFill="1" applyBorder="1" applyAlignment="1">
      <alignment horizontal="right" vertical="center" shrinkToFit="1"/>
    </xf>
    <xf numFmtId="166" fontId="35" fillId="0" borderId="23" xfId="0" applyNumberFormat="1" applyFont="1" applyFill="1" applyBorder="1" applyAlignment="1" applyProtection="1">
      <alignment horizontal="center" vertical="center"/>
      <protection locked="0"/>
    </xf>
    <xf numFmtId="166" fontId="35" fillId="0" borderId="24" xfId="0" applyNumberFormat="1" applyFont="1" applyFill="1" applyBorder="1" applyAlignment="1" applyProtection="1">
      <alignment horizontal="center" vertical="center"/>
      <protection locked="0"/>
    </xf>
    <xf numFmtId="166" fontId="35" fillId="0" borderId="61" xfId="0" applyNumberFormat="1" applyFont="1" applyFill="1" applyBorder="1" applyAlignment="1" applyProtection="1">
      <alignment horizontal="center" vertical="center"/>
      <protection locked="0"/>
    </xf>
    <xf numFmtId="166" fontId="35" fillId="0" borderId="102" xfId="0" applyNumberFormat="1" applyFont="1" applyFill="1" applyBorder="1" applyAlignment="1" applyProtection="1">
      <alignment horizontal="center" vertical="center"/>
      <protection locked="0"/>
    </xf>
    <xf numFmtId="166" fontId="35" fillId="0" borderId="65" xfId="0" applyNumberFormat="1" applyFont="1" applyFill="1" applyBorder="1" applyAlignment="1" applyProtection="1">
      <alignment horizontal="center" vertical="center"/>
      <protection locked="0"/>
    </xf>
    <xf numFmtId="166" fontId="35" fillId="0" borderId="66" xfId="0" applyNumberFormat="1" applyFont="1" applyFill="1" applyBorder="1" applyAlignment="1" applyProtection="1">
      <alignment horizontal="center" vertical="center"/>
      <protection locked="0"/>
    </xf>
    <xf numFmtId="166" fontId="35" fillId="0" borderId="51" xfId="0" applyNumberFormat="1" applyFont="1" applyFill="1" applyBorder="1" applyAlignment="1" applyProtection="1">
      <alignment horizontal="center" vertical="center"/>
      <protection locked="0"/>
    </xf>
    <xf numFmtId="166" fontId="35" fillId="0" borderId="25" xfId="0" applyNumberFormat="1" applyFont="1" applyFill="1" applyBorder="1" applyAlignment="1" applyProtection="1">
      <alignment horizontal="center" vertical="center"/>
      <protection locked="0"/>
    </xf>
    <xf numFmtId="166" fontId="35" fillId="0" borderId="55" xfId="0" applyNumberFormat="1" applyFont="1" applyFill="1" applyBorder="1" applyAlignment="1" applyProtection="1">
      <alignment horizontal="center" vertical="center"/>
      <protection locked="0"/>
    </xf>
    <xf numFmtId="166" fontId="35" fillId="0" borderId="56" xfId="0" applyNumberFormat="1" applyFont="1" applyFill="1" applyBorder="1" applyAlignment="1" applyProtection="1">
      <alignment horizontal="center" vertical="center"/>
      <protection locked="0"/>
    </xf>
    <xf numFmtId="166" fontId="35" fillId="0" borderId="101" xfId="0" applyNumberFormat="1" applyFont="1" applyFill="1" applyBorder="1" applyAlignment="1" applyProtection="1">
      <alignment horizontal="center" vertical="center"/>
      <protection locked="0"/>
    </xf>
    <xf numFmtId="0" fontId="3" fillId="13" borderId="52" xfId="0" applyFont="1" applyFill="1" applyBorder="1" applyAlignment="1">
      <alignment horizontal="left" vertical="center" shrinkToFit="1"/>
    </xf>
    <xf numFmtId="0" fontId="3" fillId="13" borderId="56" xfId="0" applyFont="1" applyFill="1" applyBorder="1" applyAlignment="1">
      <alignment horizontal="left" vertical="center" shrinkToFit="1"/>
    </xf>
    <xf numFmtId="0" fontId="3" fillId="13" borderId="57" xfId="0" applyFont="1" applyFill="1" applyBorder="1" applyAlignment="1">
      <alignment horizontal="left" vertical="center" shrinkToFit="1"/>
    </xf>
    <xf numFmtId="0" fontId="3" fillId="13" borderId="62" xfId="0" applyFont="1" applyFill="1" applyBorder="1" applyAlignment="1">
      <alignment horizontal="center"/>
    </xf>
    <xf numFmtId="0" fontId="36" fillId="0" borderId="61" xfId="0" applyFont="1" applyFill="1" applyBorder="1" applyAlignment="1" applyProtection="1">
      <alignment horizontal="center" vertical="center"/>
      <protection locked="0"/>
    </xf>
    <xf numFmtId="0" fontId="36" fillId="0" borderId="62" xfId="0" applyFont="1" applyFill="1" applyBorder="1" applyAlignment="1" applyProtection="1">
      <alignment horizontal="center" vertical="center"/>
      <protection locked="0"/>
    </xf>
    <xf numFmtId="0" fontId="36" fillId="0" borderId="24" xfId="0" applyFont="1" applyFill="1" applyBorder="1" applyAlignment="1" applyProtection="1">
      <alignment horizontal="center" vertical="center"/>
      <protection locked="0"/>
    </xf>
    <xf numFmtId="167" fontId="3" fillId="0" borderId="0" xfId="0" applyNumberFormat="1" applyFont="1" applyFill="1" applyBorder="1" applyAlignment="1">
      <alignment horizontal="center" vertical="center" shrinkToFit="1"/>
    </xf>
    <xf numFmtId="168" fontId="22" fillId="0" borderId="0" xfId="0" applyNumberFormat="1" applyFont="1" applyFill="1" applyBorder="1" applyAlignment="1">
      <alignment horizontal="center"/>
    </xf>
    <xf numFmtId="2" fontId="4" fillId="4" borderId="24" xfId="0" applyNumberFormat="1" applyFont="1" applyFill="1" applyBorder="1" applyAlignment="1">
      <alignment horizontal="center" vertical="center" shrinkToFit="1"/>
    </xf>
    <xf numFmtId="2" fontId="4" fillId="4" borderId="25" xfId="0" applyNumberFormat="1" applyFont="1" applyFill="1" applyBorder="1" applyAlignment="1">
      <alignment horizontal="center" vertical="center" shrinkToFit="1"/>
    </xf>
    <xf numFmtId="2" fontId="4" fillId="4" borderId="27" xfId="0" applyNumberFormat="1" applyFont="1" applyFill="1" applyBorder="1" applyAlignment="1">
      <alignment horizontal="center" vertical="center" shrinkToFit="1"/>
    </xf>
    <xf numFmtId="2" fontId="4" fillId="4" borderId="28" xfId="0" applyNumberFormat="1" applyFont="1" applyFill="1" applyBorder="1" applyAlignment="1">
      <alignment horizontal="center" vertical="center" shrinkToFit="1"/>
    </xf>
    <xf numFmtId="0" fontId="21" fillId="8" borderId="93" xfId="0" applyFont="1" applyFill="1" applyBorder="1" applyAlignment="1">
      <alignment horizontal="center" vertical="center" shrinkToFit="1"/>
    </xf>
    <xf numFmtId="0" fontId="21" fillId="8" borderId="35" xfId="0" applyFont="1" applyFill="1" applyBorder="1" applyAlignment="1">
      <alignment horizontal="center" vertical="center" shrinkToFit="1"/>
    </xf>
    <xf numFmtId="166" fontId="35" fillId="0" borderId="42" xfId="0" applyNumberFormat="1" applyFont="1" applyFill="1" applyBorder="1" applyAlignment="1" applyProtection="1">
      <alignment horizontal="center" vertical="center"/>
      <protection locked="0"/>
    </xf>
    <xf numFmtId="166" fontId="35" fillId="0" borderId="46" xfId="0" applyNumberFormat="1" applyFont="1" applyFill="1" applyBorder="1" applyAlignment="1" applyProtection="1">
      <alignment horizontal="center" vertical="center"/>
      <protection locked="0"/>
    </xf>
    <xf numFmtId="166" fontId="35" fillId="0" borderId="98" xfId="0" applyNumberFormat="1" applyFont="1" applyFill="1" applyBorder="1" applyAlignment="1" applyProtection="1">
      <alignment horizontal="center" vertical="center"/>
      <protection locked="0"/>
    </xf>
    <xf numFmtId="166" fontId="35" fillId="0" borderId="100" xfId="0" applyNumberFormat="1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>
      <alignment horizontal="center" vertical="center" shrinkToFit="1"/>
    </xf>
    <xf numFmtId="0" fontId="4" fillId="2" borderId="40" xfId="0" applyFont="1" applyFill="1" applyBorder="1" applyAlignment="1">
      <alignment horizontal="center" vertical="center" shrinkToFit="1"/>
    </xf>
    <xf numFmtId="0" fontId="4" fillId="2" borderId="41" xfId="0" applyFont="1" applyFill="1" applyBorder="1" applyAlignment="1">
      <alignment horizontal="center" vertical="center" shrinkToFit="1"/>
    </xf>
    <xf numFmtId="0" fontId="4" fillId="2" borderId="45" xfId="0" applyFont="1" applyFill="1" applyBorder="1" applyAlignment="1">
      <alignment horizontal="center" vertical="center" shrinkToFit="1"/>
    </xf>
    <xf numFmtId="0" fontId="4" fillId="2" borderId="0" xfId="0" applyFont="1" applyFill="1" applyBorder="1" applyAlignment="1">
      <alignment horizontal="center" vertical="center" shrinkToFit="1"/>
    </xf>
    <xf numFmtId="0" fontId="4" fillId="2" borderId="43" xfId="0" applyFont="1" applyFill="1" applyBorder="1" applyAlignment="1">
      <alignment horizontal="center" vertical="center" shrinkToFit="1"/>
    </xf>
    <xf numFmtId="166" fontId="35" fillId="0" borderId="71" xfId="0" applyNumberFormat="1" applyFont="1" applyFill="1" applyBorder="1" applyAlignment="1" applyProtection="1">
      <alignment horizontal="center" vertical="center"/>
      <protection locked="0"/>
    </xf>
    <xf numFmtId="166" fontId="35" fillId="0" borderId="99" xfId="0" applyNumberFormat="1" applyFont="1" applyFill="1" applyBorder="1" applyAlignment="1" applyProtection="1">
      <alignment horizontal="center" vertical="center"/>
      <protection locked="0"/>
    </xf>
    <xf numFmtId="166" fontId="35" fillId="0" borderId="37" xfId="0" applyNumberFormat="1" applyFont="1" applyFill="1" applyBorder="1" applyAlignment="1" applyProtection="1">
      <alignment horizontal="center" vertical="center"/>
      <protection locked="0"/>
    </xf>
    <xf numFmtId="166" fontId="35" fillId="0" borderId="38" xfId="0" applyNumberFormat="1" applyFont="1" applyFill="1" applyBorder="1" applyAlignment="1" applyProtection="1">
      <alignment horizontal="center" vertical="center"/>
      <protection locked="0"/>
    </xf>
    <xf numFmtId="0" fontId="4" fillId="4" borderId="3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shrinkToFit="1"/>
    </xf>
    <xf numFmtId="0" fontId="4" fillId="4" borderId="2" xfId="0" applyFont="1" applyFill="1" applyBorder="1" applyAlignment="1">
      <alignment horizontal="center" vertical="center" shrinkToFit="1"/>
    </xf>
    <xf numFmtId="0" fontId="4" fillId="4" borderId="67" xfId="0" applyFont="1" applyFill="1" applyBorder="1" applyAlignment="1">
      <alignment horizontal="center" vertical="center" shrinkToFit="1"/>
    </xf>
    <xf numFmtId="0" fontId="4" fillId="4" borderId="68" xfId="0" applyFont="1" applyFill="1" applyBorder="1" applyAlignment="1">
      <alignment horizontal="center" vertical="center" shrinkToFit="1"/>
    </xf>
    <xf numFmtId="0" fontId="4" fillId="4" borderId="69" xfId="0" applyFont="1" applyFill="1" applyBorder="1" applyAlignment="1">
      <alignment horizontal="center" vertical="center" shrinkToFit="1"/>
    </xf>
    <xf numFmtId="0" fontId="4" fillId="4" borderId="70" xfId="0" applyFont="1" applyFill="1" applyBorder="1" applyAlignment="1">
      <alignment horizontal="center" vertical="center" shrinkToFit="1"/>
    </xf>
    <xf numFmtId="0" fontId="3" fillId="0" borderId="75" xfId="0" applyFont="1" applyFill="1" applyBorder="1" applyAlignment="1">
      <alignment horizontal="center"/>
    </xf>
    <xf numFmtId="0" fontId="36" fillId="0" borderId="71" xfId="0" applyFont="1" applyFill="1" applyBorder="1" applyAlignment="1" applyProtection="1">
      <alignment horizontal="center" vertical="center"/>
      <protection locked="0"/>
    </xf>
    <xf numFmtId="0" fontId="36" fillId="0" borderId="72" xfId="0" applyFont="1" applyFill="1" applyBorder="1" applyAlignment="1" applyProtection="1">
      <alignment horizontal="center" vertical="center"/>
      <protection locked="0"/>
    </xf>
    <xf numFmtId="0" fontId="3" fillId="13" borderId="72" xfId="0" applyFont="1" applyFill="1" applyBorder="1" applyAlignment="1">
      <alignment horizontal="center"/>
    </xf>
    <xf numFmtId="0" fontId="3" fillId="13" borderId="34" xfId="0" applyFont="1" applyFill="1" applyBorder="1" applyAlignment="1">
      <alignment horizontal="right" vertical="center" shrinkToFit="1"/>
    </xf>
    <xf numFmtId="0" fontId="3" fillId="13" borderId="36" xfId="0" applyFont="1" applyFill="1" applyBorder="1" applyAlignment="1">
      <alignment horizontal="right" vertical="center" shrinkToFit="1"/>
    </xf>
    <xf numFmtId="0" fontId="3" fillId="13" borderId="37" xfId="0" applyFont="1" applyFill="1" applyBorder="1" applyAlignment="1">
      <alignment horizontal="right" vertical="center" shrinkToFit="1"/>
    </xf>
    <xf numFmtId="0" fontId="25" fillId="0" borderId="30" xfId="0" applyFont="1" applyBorder="1" applyAlignment="1">
      <alignment horizontal="center" vertical="center" textRotation="90"/>
    </xf>
    <xf numFmtId="0" fontId="25" fillId="0" borderId="25" xfId="0" applyFont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39" fillId="3" borderId="0" xfId="0" applyFont="1" applyFill="1" applyAlignment="1">
      <alignment horizontal="left"/>
    </xf>
    <xf numFmtId="0" fontId="37" fillId="3" borderId="109" xfId="0" applyFont="1" applyFill="1" applyBorder="1" applyAlignment="1">
      <alignment horizontal="center" vertical="center"/>
    </xf>
    <xf numFmtId="0" fontId="37" fillId="3" borderId="11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26" fillId="3" borderId="76" xfId="0" applyFont="1" applyFill="1" applyBorder="1" applyAlignment="1">
      <alignment horizontal="left" vertical="center"/>
    </xf>
    <xf numFmtId="0" fontId="26" fillId="3" borderId="31" xfId="0" applyFont="1" applyFill="1" applyBorder="1" applyAlignment="1">
      <alignment horizontal="left" vertical="center"/>
    </xf>
  </cellXfs>
  <cellStyles count="3">
    <cellStyle name="Calculation" xfId="1" builtinId="22"/>
    <cellStyle name="Normal" xfId="0" builtinId="0"/>
    <cellStyle name="Normal 2" xfId="2" xr:uid="{82FEF14A-4A93-4B7F-8FAA-8F758B3F34C3}"/>
  </cellStyles>
  <dxfs count="90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352425</xdr:colOff>
      <xdr:row>1</xdr:row>
      <xdr:rowOff>57150</xdr:rowOff>
    </xdr:from>
    <xdr:to>
      <xdr:col>31</xdr:col>
      <xdr:colOff>411479</xdr:colOff>
      <xdr:row>3</xdr:row>
      <xdr:rowOff>95250</xdr:rowOff>
    </xdr:to>
    <xdr:pic>
      <xdr:nvPicPr>
        <xdr:cNvPr id="2" name="Picture 1" descr="C:\Users\OliverW\AppData\Local\Microsoft\Windows\INetCache\Content.Word\Roborace_logo_white_background.svg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171450"/>
          <a:ext cx="1849754" cy="3619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1</xdr:row>
      <xdr:rowOff>57150</xdr:rowOff>
    </xdr:from>
    <xdr:to>
      <xdr:col>31</xdr:col>
      <xdr:colOff>143418</xdr:colOff>
      <xdr:row>3</xdr:row>
      <xdr:rowOff>97971</xdr:rowOff>
    </xdr:to>
    <xdr:pic>
      <xdr:nvPicPr>
        <xdr:cNvPr id="5" name="Picture 4" descr="C:\Users\OliverW\AppData\Local\Microsoft\Windows\INetCache\Content.Word\Roborace_logo_white_background.svg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171450"/>
          <a:ext cx="1849755" cy="3619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10</xdr:col>
      <xdr:colOff>9525</xdr:colOff>
      <xdr:row>63</xdr:row>
      <xdr:rowOff>159419</xdr:rowOff>
    </xdr:from>
    <xdr:to>
      <xdr:col>12</xdr:col>
      <xdr:colOff>408574</xdr:colOff>
      <xdr:row>63</xdr:row>
      <xdr:rowOff>159419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3686175" y="11017919"/>
          <a:ext cx="115152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55144</xdr:colOff>
      <xdr:row>64</xdr:row>
      <xdr:rowOff>0</xdr:rowOff>
    </xdr:from>
    <xdr:to>
      <xdr:col>23</xdr:col>
      <xdr:colOff>400050</xdr:colOff>
      <xdr:row>64</xdr:row>
      <xdr:rowOff>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7465594" y="10687050"/>
          <a:ext cx="116405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7018</xdr:colOff>
      <xdr:row>94</xdr:row>
      <xdr:rowOff>95251</xdr:rowOff>
    </xdr:from>
    <xdr:to>
      <xdr:col>31</xdr:col>
      <xdr:colOff>189883</xdr:colOff>
      <xdr:row>126</xdr:row>
      <xdr:rowOff>135246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911" y="15226394"/>
          <a:ext cx="11347526" cy="56298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1714500</xdr:colOff>
          <xdr:row>7</xdr:row>
          <xdr:rowOff>66675</xdr:rowOff>
        </xdr:from>
        <xdr:to>
          <xdr:col>1</xdr:col>
          <xdr:colOff>2152650</xdr:colOff>
          <xdr:row>8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1724025</xdr:colOff>
          <xdr:row>3</xdr:row>
          <xdr:rowOff>38100</xdr:rowOff>
        </xdr:from>
        <xdr:to>
          <xdr:col>1</xdr:col>
          <xdr:colOff>2124075</xdr:colOff>
          <xdr:row>4</xdr:row>
          <xdr:rowOff>114300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1714500</xdr:colOff>
          <xdr:row>5</xdr:row>
          <xdr:rowOff>57150</xdr:rowOff>
        </xdr:from>
        <xdr:to>
          <xdr:col>1</xdr:col>
          <xdr:colOff>2133600</xdr:colOff>
          <xdr:row>6</xdr:row>
          <xdr:rowOff>104775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</xdr:row>
          <xdr:rowOff>47625</xdr:rowOff>
        </xdr:from>
        <xdr:to>
          <xdr:col>3</xdr:col>
          <xdr:colOff>619125</xdr:colOff>
          <xdr:row>8</xdr:row>
          <xdr:rowOff>133350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7</xdr:row>
          <xdr:rowOff>57150</xdr:rowOff>
        </xdr:from>
        <xdr:to>
          <xdr:col>5</xdr:col>
          <xdr:colOff>9525</xdr:colOff>
          <xdr:row>8</xdr:row>
          <xdr:rowOff>123825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2</xdr:row>
          <xdr:rowOff>9525</xdr:rowOff>
        </xdr:from>
        <xdr:to>
          <xdr:col>7</xdr:col>
          <xdr:colOff>495300</xdr:colOff>
          <xdr:row>6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constanstants 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4037;&#22580;&#21029;&#2084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iting.sharepoint.com/000%20roborace/GT3_GTOpen_Estoril_Setup_i1_star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919262\4230File_N\1PROJECT\NAZTS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SSD\Race\1PROJECT\NAZT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iting.sharepoint.com/Documents%20and%20Settings/gianpiero.lambiase/My%20Documents/GP/2008/Event%20Info/Test/08T47_Barcelona/Sutil/Setup%20Workbooks/jody.egginton/My%20Documents/2007/Race%20&amp;%20Test%20Data/070206%20Silverstone/070206CA_RaceEngDoc_D1_Iss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919262\4230File_N\TEMP\ContGrph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919262\4230File_N\WORK\TESTS\RA2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ata\99F1\Book2\&#35336;&#31639;\LR_SP_FIT(forBook2_1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&#30330;&#34892;&#26360;&#39006;\&#35430;&#39443;&#35336;&#30011;&#26360;\CHEMICAL\&#30330;&#34892;&#26360;&#39006;\&#35430;&#39443;&#35336;&#30011;&#26360;\CHEMICAL\&#65404;POSN55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919262\4230File_N\F-GRP\F-1\DRUMDAT\&#22577;&#21578;&#26360;(97.7-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inkpad535\my%20documents\My%20Documents\&#20276;\ITNRRY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iting.sharepoint.com/000%202018%20Hyper/F1/SFI/Setup%20Sheet%20Exampl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&#30330;&#34892;&#26360;&#39006;\&#35430;&#39443;&#35336;&#30011;&#26360;\CHEMICAL\&#26448;&#26009;&#24773;&#22577;\DATABASE\&#26681;&#25312;DATA\CBFILLER\CARBON\N220\POSCO\&#26448;&#26009;&#24773;&#22577;\DATABASE\&#35430;&#39443;&#35336;&#30011;\&#65404;POSN55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ORK\&#12525;&#12464;&#12452;&#12531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ORK\&#26908;&#32034;&#20966;&#29702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919262\4230File_N\Data\00Data\00f1\&#38283;&#30330;&#29992;\000809\&#12487;&#12540;&#12479;&#20316;&#2510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場別全"/>
    </sheetNames>
    <definedNames>
      <definedName name="[ログインモジュール].ログイン_Cancel_btn"/>
      <definedName name="[ログインモジュール].ログイン_Ok_btn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S"/>
      <sheetName val="OVERVIEW"/>
      <sheetName val="OPTIMIZER"/>
      <sheetName val="AERO"/>
      <sheetName val="ELEMENTS"/>
      <sheetName val="TIRES"/>
      <sheetName val="KINEMATICS"/>
      <sheetName val="ARB"/>
      <sheetName val="C01"/>
      <sheetName val="C02"/>
      <sheetName val="C03"/>
      <sheetName val="C04"/>
      <sheetName val="C05"/>
      <sheetName val="C06"/>
      <sheetName val="C07"/>
      <sheetName val="C08"/>
    </sheetNames>
    <sheetDataSet>
      <sheetData sheetId="0">
        <row r="5">
          <cell r="K5">
            <v>48</v>
          </cell>
        </row>
        <row r="6">
          <cell r="K6">
            <v>50</v>
          </cell>
        </row>
        <row r="7">
          <cell r="G7">
            <v>370</v>
          </cell>
        </row>
        <row r="11">
          <cell r="K11">
            <v>331</v>
          </cell>
        </row>
        <row r="12">
          <cell r="K12">
            <v>349</v>
          </cell>
        </row>
        <row r="15">
          <cell r="C15">
            <v>9.81</v>
          </cell>
        </row>
        <row r="21">
          <cell r="K21">
            <v>1737</v>
          </cell>
        </row>
        <row r="22">
          <cell r="K22">
            <v>1694</v>
          </cell>
        </row>
        <row r="23">
          <cell r="C23">
            <v>2.1</v>
          </cell>
          <cell r="K23">
            <v>1715.5</v>
          </cell>
        </row>
      </sheetData>
      <sheetData sheetId="1"/>
      <sheetData sheetId="2"/>
      <sheetData sheetId="3"/>
      <sheetData sheetId="4"/>
      <sheetData sheetId="5"/>
      <sheetData sheetId="6">
        <row r="3">
          <cell r="B3" t="str">
            <v>BASE FA</v>
          </cell>
          <cell r="C3">
            <v>0.71</v>
          </cell>
          <cell r="D3">
            <v>1</v>
          </cell>
          <cell r="E3">
            <v>39</v>
          </cell>
          <cell r="F3">
            <v>32</v>
          </cell>
          <cell r="G3">
            <v>0.04</v>
          </cell>
          <cell r="H3">
            <v>1</v>
          </cell>
          <cell r="I3">
            <v>3000</v>
          </cell>
          <cell r="J3">
            <v>3000</v>
          </cell>
        </row>
        <row r="4">
          <cell r="B4" t="str">
            <v>150611 FA</v>
          </cell>
          <cell r="C4">
            <v>0.71</v>
          </cell>
          <cell r="D4">
            <v>1</v>
          </cell>
          <cell r="E4">
            <v>39</v>
          </cell>
          <cell r="F4">
            <v>21</v>
          </cell>
          <cell r="G4">
            <v>3.5000000000000003E-2</v>
          </cell>
          <cell r="H4">
            <v>1</v>
          </cell>
          <cell r="I4">
            <v>3000</v>
          </cell>
          <cell r="J4">
            <v>3000</v>
          </cell>
        </row>
        <row r="5">
          <cell r="B5" t="str">
            <v>150622 FA</v>
          </cell>
          <cell r="C5">
            <v>0.72</v>
          </cell>
          <cell r="D5">
            <v>1.014</v>
          </cell>
          <cell r="E5">
            <v>37</v>
          </cell>
          <cell r="F5">
            <v>32</v>
          </cell>
          <cell r="G5">
            <v>0.04</v>
          </cell>
          <cell r="H5">
            <v>1</v>
          </cell>
          <cell r="I5">
            <v>3000</v>
          </cell>
          <cell r="J5">
            <v>3000</v>
          </cell>
        </row>
        <row r="6">
          <cell r="B6"/>
          <cell r="C6"/>
          <cell r="D6"/>
          <cell r="E6"/>
          <cell r="F6"/>
          <cell r="G6"/>
          <cell r="H6"/>
          <cell r="I6"/>
          <cell r="J6"/>
        </row>
        <row r="7">
          <cell r="B7"/>
          <cell r="C7"/>
          <cell r="D7"/>
          <cell r="E7"/>
          <cell r="F7"/>
          <cell r="G7"/>
          <cell r="H7"/>
          <cell r="I7"/>
          <cell r="J7"/>
        </row>
        <row r="8">
          <cell r="B8"/>
          <cell r="C8"/>
          <cell r="D8"/>
          <cell r="E8"/>
          <cell r="F8"/>
          <cell r="G8"/>
          <cell r="H8"/>
          <cell r="I8"/>
          <cell r="J8"/>
        </row>
        <row r="9">
          <cell r="B9"/>
          <cell r="C9"/>
          <cell r="D9"/>
          <cell r="E9"/>
          <cell r="F9"/>
          <cell r="G9"/>
          <cell r="H9"/>
          <cell r="I9"/>
          <cell r="J9"/>
        </row>
        <row r="10">
          <cell r="B10"/>
          <cell r="C10"/>
          <cell r="D10"/>
          <cell r="E10"/>
          <cell r="F10"/>
          <cell r="G10"/>
          <cell r="H10"/>
          <cell r="I10"/>
          <cell r="J10"/>
        </row>
        <row r="11">
          <cell r="B11"/>
          <cell r="C11"/>
          <cell r="D11"/>
          <cell r="E11"/>
          <cell r="F11"/>
          <cell r="G11"/>
          <cell r="H11"/>
          <cell r="I11"/>
          <cell r="J11"/>
        </row>
        <row r="12">
          <cell r="B12"/>
          <cell r="C12"/>
          <cell r="D12"/>
          <cell r="E12"/>
          <cell r="F12"/>
          <cell r="G12"/>
          <cell r="H12"/>
          <cell r="I12"/>
          <cell r="J12"/>
        </row>
        <row r="13">
          <cell r="B13"/>
          <cell r="C13"/>
          <cell r="D13"/>
          <cell r="E13"/>
          <cell r="F13"/>
          <cell r="G13"/>
          <cell r="H13"/>
          <cell r="I13"/>
          <cell r="J13"/>
        </row>
        <row r="14">
          <cell r="B14"/>
          <cell r="C14"/>
          <cell r="D14"/>
          <cell r="E14"/>
          <cell r="F14"/>
          <cell r="G14"/>
          <cell r="H14"/>
          <cell r="I14"/>
          <cell r="J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</row>
        <row r="16">
          <cell r="B16"/>
          <cell r="C16"/>
          <cell r="D16"/>
          <cell r="E16"/>
          <cell r="F16"/>
          <cell r="G16"/>
          <cell r="H16"/>
          <cell r="I16"/>
          <cell r="J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</row>
        <row r="18">
          <cell r="B18"/>
          <cell r="C18"/>
          <cell r="D18"/>
          <cell r="E18"/>
          <cell r="F18"/>
          <cell r="G18"/>
          <cell r="H18"/>
          <cell r="I18"/>
          <cell r="J18"/>
        </row>
        <row r="19">
          <cell r="B19"/>
          <cell r="C19"/>
          <cell r="D19"/>
          <cell r="E19"/>
          <cell r="F19"/>
          <cell r="G19"/>
          <cell r="H19"/>
          <cell r="I19"/>
          <cell r="J19"/>
        </row>
        <row r="20">
          <cell r="B20"/>
          <cell r="C20"/>
          <cell r="D20"/>
          <cell r="E20"/>
          <cell r="F20"/>
          <cell r="G20"/>
          <cell r="H20"/>
          <cell r="I20"/>
          <cell r="J20"/>
        </row>
        <row r="21">
          <cell r="B21"/>
          <cell r="C21"/>
          <cell r="D21"/>
          <cell r="E21"/>
          <cell r="F21"/>
          <cell r="G21"/>
          <cell r="H21"/>
          <cell r="I21"/>
          <cell r="J21"/>
        </row>
        <row r="22">
          <cell r="B22"/>
          <cell r="C22"/>
          <cell r="D22"/>
          <cell r="E22"/>
          <cell r="F22"/>
          <cell r="G22"/>
          <cell r="H22"/>
          <cell r="I22"/>
          <cell r="J22"/>
        </row>
        <row r="23">
          <cell r="B23"/>
          <cell r="C23"/>
          <cell r="D23"/>
          <cell r="E23"/>
          <cell r="F23"/>
          <cell r="G23"/>
          <cell r="H23"/>
          <cell r="I23"/>
          <cell r="J23"/>
        </row>
        <row r="24">
          <cell r="B24"/>
          <cell r="C24"/>
          <cell r="D24"/>
          <cell r="E24"/>
          <cell r="F24"/>
          <cell r="G24"/>
          <cell r="H24"/>
          <cell r="I24"/>
          <cell r="J24"/>
        </row>
        <row r="25">
          <cell r="B25"/>
          <cell r="C25"/>
          <cell r="D25"/>
          <cell r="E25"/>
          <cell r="F25"/>
          <cell r="G25"/>
          <cell r="H25"/>
          <cell r="I25"/>
          <cell r="J25"/>
        </row>
        <row r="26">
          <cell r="B26"/>
          <cell r="C26"/>
          <cell r="D26"/>
          <cell r="E26"/>
          <cell r="F26"/>
          <cell r="G26"/>
          <cell r="H26"/>
          <cell r="I26"/>
          <cell r="J26"/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</row>
        <row r="28">
          <cell r="B28"/>
          <cell r="C28"/>
          <cell r="D28"/>
          <cell r="E28"/>
          <cell r="F28"/>
          <cell r="G28"/>
          <cell r="H28"/>
          <cell r="I28"/>
          <cell r="J28"/>
        </row>
        <row r="29">
          <cell r="B29"/>
          <cell r="C29"/>
          <cell r="D29"/>
          <cell r="E29"/>
          <cell r="F29"/>
          <cell r="G29"/>
          <cell r="H29"/>
          <cell r="I29"/>
          <cell r="J29"/>
        </row>
        <row r="30">
          <cell r="B30"/>
          <cell r="C30"/>
          <cell r="D30"/>
          <cell r="E30"/>
          <cell r="F30"/>
          <cell r="G30"/>
          <cell r="H30"/>
          <cell r="I30"/>
          <cell r="J30"/>
        </row>
        <row r="31">
          <cell r="C31"/>
          <cell r="D31"/>
          <cell r="E31"/>
          <cell r="F31"/>
          <cell r="G31"/>
          <cell r="I31"/>
          <cell r="J31"/>
        </row>
        <row r="32">
          <cell r="C32"/>
          <cell r="D32"/>
          <cell r="E32"/>
          <cell r="F32"/>
          <cell r="G32"/>
          <cell r="H32"/>
          <cell r="I32"/>
          <cell r="J32"/>
        </row>
        <row r="53">
          <cell r="B53" t="str">
            <v>BASE RA</v>
          </cell>
          <cell r="C53">
            <v>0.7</v>
          </cell>
          <cell r="D53">
            <v>1</v>
          </cell>
          <cell r="E53">
            <v>57</v>
          </cell>
          <cell r="F53">
            <v>45.5</v>
          </cell>
          <cell r="G53">
            <v>3.3000000000000002E-2</v>
          </cell>
          <cell r="H53">
            <v>1.33</v>
          </cell>
          <cell r="I53">
            <v>3000</v>
          </cell>
          <cell r="J53">
            <v>3000</v>
          </cell>
          <cell r="K53">
            <v>-2.7</v>
          </cell>
        </row>
        <row r="54">
          <cell r="B54" t="str">
            <v>150414 RA</v>
          </cell>
          <cell r="C54">
            <v>0.68500000000000005</v>
          </cell>
          <cell r="D54">
            <v>0.99</v>
          </cell>
          <cell r="E54">
            <v>70</v>
          </cell>
          <cell r="F54">
            <v>40</v>
          </cell>
          <cell r="G54">
            <v>3.3000000000000002E-2</v>
          </cell>
          <cell r="H54">
            <v>1.33</v>
          </cell>
          <cell r="I54">
            <v>3000</v>
          </cell>
          <cell r="J54">
            <v>3000</v>
          </cell>
          <cell r="K54">
            <v>-4</v>
          </cell>
        </row>
        <row r="55">
          <cell r="B55" t="str">
            <v>150702 RA</v>
          </cell>
          <cell r="C55">
            <v>0.68500000000000005</v>
          </cell>
          <cell r="D55">
            <v>0.99</v>
          </cell>
          <cell r="E55">
            <v>73</v>
          </cell>
          <cell r="F55">
            <v>40</v>
          </cell>
          <cell r="G55">
            <v>3.3000000000000002E-2</v>
          </cell>
          <cell r="H55">
            <v>1.33</v>
          </cell>
          <cell r="I55">
            <v>3000</v>
          </cell>
          <cell r="J55">
            <v>3000</v>
          </cell>
          <cell r="K55">
            <v>-4</v>
          </cell>
        </row>
        <row r="56">
          <cell r="B56"/>
          <cell r="C56"/>
          <cell r="D56"/>
          <cell r="E56"/>
          <cell r="F56"/>
          <cell r="G56"/>
          <cell r="H56"/>
          <cell r="I56"/>
          <cell r="J56"/>
          <cell r="K56"/>
        </row>
        <row r="57">
          <cell r="B57"/>
          <cell r="C57"/>
          <cell r="D57"/>
          <cell r="E57"/>
          <cell r="F57"/>
          <cell r="G57"/>
          <cell r="H57"/>
          <cell r="I57"/>
          <cell r="J57"/>
          <cell r="K57"/>
        </row>
        <row r="58">
          <cell r="B58"/>
          <cell r="C58"/>
          <cell r="D58"/>
          <cell r="E58"/>
          <cell r="F58"/>
          <cell r="G58"/>
          <cell r="H58"/>
          <cell r="I58"/>
          <cell r="J58"/>
          <cell r="K58"/>
        </row>
        <row r="59">
          <cell r="B59"/>
          <cell r="C59"/>
          <cell r="D59"/>
          <cell r="E59"/>
          <cell r="F59"/>
          <cell r="G59"/>
          <cell r="H59"/>
          <cell r="I59"/>
          <cell r="J59"/>
          <cell r="K59"/>
        </row>
        <row r="60">
          <cell r="B60"/>
          <cell r="C60"/>
          <cell r="D60"/>
          <cell r="E60"/>
          <cell r="F60"/>
          <cell r="G60"/>
          <cell r="H60"/>
          <cell r="I60"/>
          <cell r="J60"/>
          <cell r="K60"/>
        </row>
        <row r="61">
          <cell r="B61"/>
          <cell r="C61"/>
          <cell r="D61"/>
          <cell r="E61"/>
          <cell r="F61"/>
          <cell r="G61"/>
          <cell r="H61"/>
          <cell r="I61"/>
          <cell r="J61"/>
          <cell r="K61"/>
        </row>
        <row r="62">
          <cell r="B62"/>
          <cell r="C62"/>
          <cell r="D62"/>
          <cell r="E62"/>
          <cell r="F62"/>
          <cell r="G62"/>
          <cell r="H62"/>
          <cell r="I62"/>
          <cell r="J62"/>
          <cell r="K62"/>
        </row>
        <row r="63">
          <cell r="B63"/>
          <cell r="C63"/>
          <cell r="D63"/>
          <cell r="E63"/>
          <cell r="F63"/>
          <cell r="G63"/>
          <cell r="H63"/>
          <cell r="I63"/>
          <cell r="J63"/>
          <cell r="K63"/>
        </row>
        <row r="64">
          <cell r="B64"/>
          <cell r="C64"/>
          <cell r="D64"/>
          <cell r="E64"/>
          <cell r="F64"/>
          <cell r="G64"/>
          <cell r="H64"/>
          <cell r="I64"/>
          <cell r="J64"/>
          <cell r="K64"/>
        </row>
        <row r="65">
          <cell r="B65"/>
          <cell r="C65"/>
          <cell r="D65"/>
          <cell r="E65"/>
          <cell r="F65"/>
          <cell r="G65"/>
          <cell r="H65"/>
          <cell r="I65"/>
          <cell r="J65"/>
          <cell r="K65"/>
        </row>
        <row r="66">
          <cell r="B66"/>
          <cell r="C66"/>
          <cell r="D66"/>
          <cell r="E66"/>
          <cell r="F66"/>
          <cell r="G66"/>
          <cell r="H66"/>
          <cell r="I66"/>
          <cell r="J66"/>
          <cell r="K66"/>
        </row>
        <row r="67">
          <cell r="B67"/>
          <cell r="C67"/>
          <cell r="D67"/>
          <cell r="E67"/>
          <cell r="F67"/>
          <cell r="G67"/>
          <cell r="H67"/>
          <cell r="I67"/>
          <cell r="J67"/>
          <cell r="K67"/>
        </row>
        <row r="68">
          <cell r="B68"/>
          <cell r="C68"/>
          <cell r="D68"/>
          <cell r="E68"/>
          <cell r="F68"/>
          <cell r="G68"/>
          <cell r="H68"/>
          <cell r="I68"/>
          <cell r="J68"/>
          <cell r="K68"/>
        </row>
        <row r="69">
          <cell r="B69"/>
          <cell r="C69"/>
          <cell r="D69"/>
          <cell r="E69"/>
          <cell r="F69"/>
          <cell r="G69"/>
          <cell r="H69"/>
          <cell r="I69"/>
          <cell r="J69"/>
          <cell r="K69"/>
        </row>
        <row r="70">
          <cell r="B70"/>
          <cell r="C70"/>
          <cell r="D70"/>
          <cell r="E70"/>
          <cell r="F70"/>
          <cell r="G70"/>
          <cell r="H70"/>
          <cell r="I70"/>
          <cell r="J70"/>
          <cell r="K70"/>
        </row>
        <row r="71">
          <cell r="B71"/>
          <cell r="C71"/>
          <cell r="D71"/>
          <cell r="E71"/>
          <cell r="F71"/>
          <cell r="G71"/>
          <cell r="H71"/>
          <cell r="I71"/>
          <cell r="J71"/>
          <cell r="K71"/>
        </row>
        <row r="72">
          <cell r="B72"/>
          <cell r="C72"/>
          <cell r="D72"/>
          <cell r="E72"/>
          <cell r="F72"/>
          <cell r="G72"/>
          <cell r="H72"/>
          <cell r="I72"/>
          <cell r="J72"/>
          <cell r="K72"/>
        </row>
        <row r="73">
          <cell r="B73"/>
          <cell r="C73"/>
          <cell r="D73"/>
          <cell r="E73"/>
          <cell r="F73"/>
          <cell r="G73"/>
          <cell r="H73"/>
          <cell r="I73"/>
          <cell r="J73"/>
          <cell r="K73"/>
        </row>
        <row r="74">
          <cell r="B74"/>
          <cell r="C74"/>
          <cell r="D74"/>
          <cell r="E74"/>
          <cell r="F74"/>
          <cell r="G74"/>
          <cell r="H74"/>
          <cell r="I74"/>
          <cell r="J74"/>
          <cell r="K74"/>
        </row>
        <row r="75">
          <cell r="B75"/>
          <cell r="C75"/>
          <cell r="D75"/>
          <cell r="E75"/>
          <cell r="F75"/>
          <cell r="G75"/>
          <cell r="H75"/>
          <cell r="I75"/>
          <cell r="J75"/>
          <cell r="K75"/>
        </row>
        <row r="76">
          <cell r="B76"/>
          <cell r="C76"/>
          <cell r="D76"/>
          <cell r="E76"/>
          <cell r="F76"/>
          <cell r="G76"/>
          <cell r="H76"/>
          <cell r="I76"/>
          <cell r="J76"/>
          <cell r="K76"/>
        </row>
        <row r="77">
          <cell r="B77"/>
          <cell r="C77"/>
          <cell r="D77"/>
          <cell r="E77"/>
          <cell r="F77"/>
          <cell r="G77"/>
          <cell r="H77"/>
          <cell r="I77"/>
          <cell r="J77"/>
          <cell r="K77"/>
        </row>
        <row r="78">
          <cell r="B78"/>
          <cell r="C78"/>
          <cell r="D78"/>
          <cell r="E78"/>
          <cell r="F78"/>
          <cell r="G78"/>
          <cell r="H78"/>
          <cell r="I78"/>
          <cell r="J78"/>
          <cell r="K78"/>
        </row>
        <row r="79">
          <cell r="B79"/>
          <cell r="C79"/>
          <cell r="D79"/>
          <cell r="E79"/>
          <cell r="F79"/>
          <cell r="G79"/>
          <cell r="H79"/>
          <cell r="I79"/>
          <cell r="J79"/>
          <cell r="K79"/>
        </row>
        <row r="80">
          <cell r="B80"/>
          <cell r="C80"/>
          <cell r="D80"/>
          <cell r="E80"/>
          <cell r="F80"/>
          <cell r="G80"/>
          <cell r="H80"/>
          <cell r="I80"/>
          <cell r="J80"/>
          <cell r="K80"/>
        </row>
        <row r="81">
          <cell r="B81"/>
          <cell r="C81"/>
          <cell r="D81"/>
          <cell r="E81"/>
          <cell r="F81"/>
          <cell r="G81"/>
          <cell r="H81"/>
          <cell r="I81"/>
          <cell r="J81"/>
          <cell r="K81"/>
        </row>
        <row r="82">
          <cell r="B82"/>
          <cell r="C82"/>
          <cell r="D82"/>
          <cell r="E82"/>
          <cell r="F82"/>
          <cell r="G82"/>
          <cell r="H82"/>
          <cell r="I82"/>
          <cell r="J82"/>
          <cell r="K82"/>
        </row>
      </sheetData>
      <sheetData sheetId="7">
        <row r="2">
          <cell r="B2" t="str">
            <v>ARB FA</v>
          </cell>
          <cell r="C2">
            <v>1</v>
          </cell>
          <cell r="D2">
            <v>1.5</v>
          </cell>
          <cell r="E2">
            <v>2</v>
          </cell>
          <cell r="F2">
            <v>2.5</v>
          </cell>
          <cell r="G2">
            <v>3</v>
          </cell>
          <cell r="H2">
            <v>3.5</v>
          </cell>
          <cell r="I2">
            <v>4</v>
          </cell>
          <cell r="J2">
            <v>4.5</v>
          </cell>
          <cell r="K2">
            <v>5</v>
          </cell>
          <cell r="L2">
            <v>5.5</v>
          </cell>
          <cell r="M2">
            <v>6</v>
          </cell>
        </row>
        <row r="3">
          <cell r="B3" t="str">
            <v>50x2</v>
          </cell>
          <cell r="C3">
            <v>47.3</v>
          </cell>
          <cell r="D3">
            <v>49.1</v>
          </cell>
          <cell r="E3">
            <v>50.8</v>
          </cell>
          <cell r="F3">
            <v>55.5</v>
          </cell>
          <cell r="G3">
            <v>60.2</v>
          </cell>
          <cell r="H3">
            <v>68.3</v>
          </cell>
          <cell r="I3">
            <v>76.3</v>
          </cell>
          <cell r="J3">
            <v>85.9</v>
          </cell>
          <cell r="K3">
            <v>95.4</v>
          </cell>
          <cell r="L3">
            <v>98.8</v>
          </cell>
          <cell r="M3">
            <v>102.2</v>
          </cell>
        </row>
        <row r="4">
          <cell r="B4" t="str">
            <v>50x3</v>
          </cell>
          <cell r="C4">
            <v>51.3</v>
          </cell>
          <cell r="D4">
            <v>53.9</v>
          </cell>
          <cell r="E4">
            <v>56.4</v>
          </cell>
          <cell r="F4">
            <v>62.4</v>
          </cell>
          <cell r="G4">
            <v>68.400000000000006</v>
          </cell>
          <cell r="H4">
            <v>78.5</v>
          </cell>
          <cell r="I4">
            <v>88.6</v>
          </cell>
          <cell r="J4">
            <v>100.9</v>
          </cell>
          <cell r="K4">
            <v>113.2</v>
          </cell>
          <cell r="L4">
            <v>118.6</v>
          </cell>
          <cell r="M4">
            <v>123.9</v>
          </cell>
        </row>
        <row r="5">
          <cell r="B5"/>
          <cell r="C5"/>
          <cell r="D5"/>
          <cell r="E5"/>
          <cell r="F5"/>
          <cell r="G5"/>
          <cell r="H5"/>
          <cell r="I5"/>
          <cell r="J5"/>
          <cell r="K5"/>
          <cell r="L5"/>
          <cell r="M5"/>
        </row>
        <row r="6">
          <cell r="B6"/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</row>
        <row r="7"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</row>
        <row r="8">
          <cell r="B8"/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</row>
        <row r="9">
          <cell r="B9"/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</row>
        <row r="10">
          <cell r="B10"/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</row>
        <row r="11">
          <cell r="B11"/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</row>
        <row r="12">
          <cell r="B12"/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</row>
        <row r="13">
          <cell r="B13"/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</row>
        <row r="14">
          <cell r="B14"/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</row>
        <row r="16">
          <cell r="B16"/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</row>
        <row r="20">
          <cell r="B20" t="str">
            <v>ARB RA</v>
          </cell>
          <cell r="C20">
            <v>1</v>
          </cell>
          <cell r="D20">
            <v>1.5</v>
          </cell>
          <cell r="E20">
            <v>2</v>
          </cell>
          <cell r="F20">
            <v>2.5</v>
          </cell>
          <cell r="G20">
            <v>3</v>
          </cell>
          <cell r="H20">
            <v>3.5</v>
          </cell>
          <cell r="I20">
            <v>4</v>
          </cell>
        </row>
        <row r="21">
          <cell r="B21" t="str">
            <v>30x3</v>
          </cell>
          <cell r="C21">
            <v>8.4</v>
          </cell>
          <cell r="D21">
            <v>9.6</v>
          </cell>
          <cell r="E21">
            <v>10.7</v>
          </cell>
          <cell r="F21">
            <v>13.4</v>
          </cell>
          <cell r="G21">
            <v>16</v>
          </cell>
          <cell r="H21">
            <v>19.8</v>
          </cell>
          <cell r="I21">
            <v>23.5</v>
          </cell>
        </row>
        <row r="22">
          <cell r="B22" t="str">
            <v>40x3</v>
          </cell>
          <cell r="C22">
            <v>20.8</v>
          </cell>
          <cell r="D22">
            <v>22.5</v>
          </cell>
          <cell r="E22">
            <v>24.2</v>
          </cell>
          <cell r="F22">
            <v>29.9</v>
          </cell>
          <cell r="G22">
            <v>35.5</v>
          </cell>
          <cell r="H22">
            <v>40.9</v>
          </cell>
          <cell r="I22">
            <v>46.3</v>
          </cell>
        </row>
        <row r="23">
          <cell r="B23"/>
          <cell r="C23"/>
          <cell r="D23"/>
          <cell r="E23"/>
          <cell r="F23"/>
          <cell r="G23"/>
          <cell r="H23"/>
          <cell r="I23"/>
        </row>
        <row r="24">
          <cell r="B24"/>
          <cell r="C24"/>
          <cell r="D24"/>
          <cell r="E24"/>
          <cell r="F24"/>
          <cell r="G24"/>
          <cell r="H24"/>
          <cell r="I24"/>
        </row>
        <row r="25">
          <cell r="B25"/>
          <cell r="C25"/>
          <cell r="D25"/>
          <cell r="E25"/>
          <cell r="F25"/>
          <cell r="G25"/>
          <cell r="H25"/>
          <cell r="I25"/>
        </row>
        <row r="26">
          <cell r="B26"/>
          <cell r="C26"/>
          <cell r="D26"/>
          <cell r="E26"/>
          <cell r="F26"/>
          <cell r="G26"/>
          <cell r="H26"/>
          <cell r="I26"/>
        </row>
        <row r="27">
          <cell r="B27"/>
          <cell r="C27"/>
          <cell r="D27"/>
          <cell r="E27"/>
          <cell r="F27"/>
          <cell r="G27"/>
          <cell r="H27"/>
          <cell r="I27"/>
        </row>
        <row r="28">
          <cell r="B28"/>
          <cell r="C28"/>
          <cell r="D28"/>
          <cell r="E28"/>
          <cell r="F28"/>
          <cell r="G28"/>
          <cell r="H28"/>
          <cell r="I28"/>
        </row>
        <row r="29">
          <cell r="B29"/>
          <cell r="C29"/>
          <cell r="D29"/>
          <cell r="E29"/>
          <cell r="F29"/>
          <cell r="G29"/>
          <cell r="H29"/>
          <cell r="I29"/>
        </row>
        <row r="30">
          <cell r="B30"/>
          <cell r="C30"/>
          <cell r="D30"/>
          <cell r="E30"/>
          <cell r="F30"/>
          <cell r="G30"/>
          <cell r="H30"/>
          <cell r="I30"/>
        </row>
        <row r="31">
          <cell r="B31"/>
          <cell r="C31"/>
          <cell r="D31"/>
          <cell r="E31"/>
          <cell r="F31"/>
          <cell r="G31"/>
          <cell r="H31"/>
          <cell r="I31"/>
        </row>
        <row r="32">
          <cell r="B32"/>
          <cell r="C32"/>
          <cell r="D32"/>
          <cell r="E32"/>
          <cell r="F32"/>
          <cell r="G32"/>
          <cell r="H32"/>
          <cell r="I32"/>
        </row>
        <row r="33">
          <cell r="B33"/>
          <cell r="C33"/>
          <cell r="D33"/>
          <cell r="E33"/>
          <cell r="F33"/>
          <cell r="G33"/>
          <cell r="H33"/>
          <cell r="I33"/>
        </row>
        <row r="34">
          <cell r="B34"/>
          <cell r="C34"/>
          <cell r="D34"/>
          <cell r="E34"/>
          <cell r="F34"/>
          <cell r="G34"/>
          <cell r="H34"/>
          <cell r="I34"/>
        </row>
        <row r="35">
          <cell r="B35"/>
          <cell r="C35"/>
          <cell r="D35"/>
          <cell r="E35"/>
          <cell r="F35"/>
          <cell r="G35"/>
          <cell r="H35"/>
          <cell r="I35"/>
        </row>
        <row r="36">
          <cell r="B36"/>
          <cell r="C36"/>
          <cell r="D36"/>
          <cell r="E36"/>
          <cell r="F36"/>
          <cell r="G36"/>
          <cell r="H36"/>
          <cell r="I36"/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ZTST"/>
    </sheetNames>
    <definedNames>
      <definedName name="Button1_Click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ZTST"/>
    </sheetNames>
    <definedNames>
      <definedName name="Button1_Click"/>
    </defined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ginal2"/>
      <sheetName val="Orginal2 (2)"/>
    </sheetNames>
    <sheetDataSet>
      <sheetData sheetId="0" refreshError="1">
        <row r="5">
          <cell r="C5">
            <v>59.57</v>
          </cell>
          <cell r="D5">
            <v>59.8</v>
          </cell>
        </row>
        <row r="6">
          <cell r="C6">
            <v>59.37</v>
          </cell>
          <cell r="D6">
            <v>59.76</v>
          </cell>
        </row>
        <row r="7">
          <cell r="C7">
            <v>59.03</v>
          </cell>
          <cell r="D7">
            <v>59.61</v>
          </cell>
        </row>
        <row r="8">
          <cell r="C8">
            <v>59.26</v>
          </cell>
          <cell r="D8">
            <v>59.72</v>
          </cell>
        </row>
        <row r="9">
          <cell r="C9">
            <v>59.29</v>
          </cell>
          <cell r="D9">
            <v>59.82</v>
          </cell>
        </row>
      </sheetData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 DATA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ation_rear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loidal1"/>
      <sheetName val="Gum2"/>
      <sheetName val="表紙"/>
      <sheetName val="2p"/>
      <sheetName val="Gum1"/>
      <sheetName val="Colloidal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"/>
      <sheetName val="REAR"/>
      <sheetName val="FRONT"/>
    </sheetNames>
    <sheetDataSet>
      <sheetData sheetId="0"/>
      <sheetData sheetId="1" refreshError="1">
        <row r="2">
          <cell r="B2" t="str">
            <v>DATE</v>
          </cell>
          <cell r="C2" t="str">
            <v>試験依頼No</v>
          </cell>
          <cell r="E2" t="str">
            <v>SIZE</v>
          </cell>
          <cell r="F2" t="str">
            <v>PATT.</v>
          </cell>
          <cell r="G2" t="str">
            <v>SERIAL</v>
          </cell>
          <cell r="H2" t="str">
            <v>BM</v>
          </cell>
          <cell r="I2" t="str">
            <v>I.D</v>
          </cell>
          <cell r="J2" t="str">
            <v>SPEC.</v>
          </cell>
          <cell r="K2" t="str">
            <v>DRUM-COND.</v>
          </cell>
          <cell r="L2" t="str">
            <v>LEVEL</v>
          </cell>
          <cell r="M2" t="str">
            <v>TIRE-COND.</v>
          </cell>
          <cell r="N2" t="str">
            <v>RIM</v>
          </cell>
        </row>
        <row r="3">
          <cell r="A3" t="str">
            <v>A0937J91290</v>
          </cell>
          <cell r="B3">
            <v>35444</v>
          </cell>
          <cell r="C3" t="str">
            <v>7RSB001A</v>
          </cell>
          <cell r="D3">
            <v>303</v>
          </cell>
          <cell r="E3" t="str">
            <v>325/45R13</v>
          </cell>
          <cell r="F3" t="str">
            <v>RA21</v>
          </cell>
          <cell r="G3" t="str">
            <v>A0937J</v>
          </cell>
          <cell r="H3" t="str">
            <v>NN</v>
          </cell>
          <cell r="I3">
            <v>91290</v>
          </cell>
          <cell r="J3" t="str">
            <v>T0改:PLY22/22(=B0)</v>
          </cell>
          <cell r="K3" t="str">
            <v>R02</v>
          </cell>
          <cell r="L3">
            <v>437</v>
          </cell>
          <cell r="M3" t="str">
            <v>1-2P間ｾﾊﾟ-&gt;CBU,FLP大</v>
          </cell>
          <cell r="N3" t="str">
            <v>13.70J</v>
          </cell>
        </row>
        <row r="4">
          <cell r="A4" t="str">
            <v>T0937J87821</v>
          </cell>
          <cell r="B4">
            <v>35444</v>
          </cell>
          <cell r="C4" t="str">
            <v>7RSB001A</v>
          </cell>
          <cell r="D4">
            <v>303</v>
          </cell>
          <cell r="E4" t="str">
            <v>325/45R13</v>
          </cell>
          <cell r="F4" t="str">
            <v>RA21</v>
          </cell>
          <cell r="G4" t="str">
            <v>T0937J</v>
          </cell>
          <cell r="H4" t="str">
            <v>NN</v>
          </cell>
          <cell r="I4">
            <v>87821</v>
          </cell>
          <cell r="J4" t="str">
            <v>M0改:TOPウスGa</v>
          </cell>
          <cell r="K4" t="str">
            <v>R02</v>
          </cell>
          <cell r="L4">
            <v>448</v>
          </cell>
          <cell r="M4" t="str">
            <v>2P-1B間ｾﾊﾟ-&gt;CBU,FLP大</v>
          </cell>
          <cell r="N4" t="str">
            <v>13.70J</v>
          </cell>
        </row>
        <row r="5">
          <cell r="A5" t="str">
            <v>T0937J93195</v>
          </cell>
          <cell r="B5">
            <v>35451</v>
          </cell>
          <cell r="C5" t="str">
            <v>7RSB001A</v>
          </cell>
          <cell r="D5">
            <v>304</v>
          </cell>
          <cell r="E5" t="str">
            <v>325/45R13</v>
          </cell>
          <cell r="F5" t="str">
            <v>RA21</v>
          </cell>
          <cell r="G5" t="str">
            <v>T0937J</v>
          </cell>
          <cell r="H5" t="str">
            <v>NN</v>
          </cell>
          <cell r="I5">
            <v>93195</v>
          </cell>
          <cell r="J5" t="str">
            <v>M0改:TOPウスGa</v>
          </cell>
          <cell r="K5" t="str">
            <v>RJ</v>
          </cell>
          <cell r="L5">
            <v>303</v>
          </cell>
          <cell r="M5" t="str">
            <v>BES-&gt;CBU8(全周)FLP10mm</v>
          </cell>
          <cell r="N5" t="str">
            <v>13.70J</v>
          </cell>
        </row>
        <row r="6">
          <cell r="A6" t="str">
            <v>T0937J93220</v>
          </cell>
          <cell r="B6">
            <v>35451</v>
          </cell>
          <cell r="C6" t="str">
            <v>7RSB001A</v>
          </cell>
          <cell r="D6">
            <v>304</v>
          </cell>
          <cell r="E6" t="str">
            <v>325/45R13</v>
          </cell>
          <cell r="F6" t="str">
            <v>RA21</v>
          </cell>
          <cell r="G6" t="str">
            <v>T0937J</v>
          </cell>
          <cell r="H6" t="str">
            <v>NN</v>
          </cell>
          <cell r="I6">
            <v>93220</v>
          </cell>
          <cell r="J6" t="str">
            <v>M0改:TOPウスGa</v>
          </cell>
          <cell r="K6" t="str">
            <v>RJ</v>
          </cell>
          <cell r="L6">
            <v>279</v>
          </cell>
          <cell r="M6" t="str">
            <v>BES-&gt;CBU8(3ｶ所)FLP10mm</v>
          </cell>
          <cell r="N6" t="str">
            <v>13.70J</v>
          </cell>
        </row>
        <row r="7">
          <cell r="A7" t="str">
            <v>T0937J93201</v>
          </cell>
          <cell r="B7">
            <v>35451</v>
          </cell>
          <cell r="C7" t="str">
            <v>7RSB001A</v>
          </cell>
          <cell r="D7">
            <v>304</v>
          </cell>
          <cell r="E7" t="str">
            <v>325/45R13</v>
          </cell>
          <cell r="F7" t="str">
            <v>RA21</v>
          </cell>
          <cell r="G7" t="str">
            <v>T0937J</v>
          </cell>
          <cell r="H7" t="str">
            <v>NN</v>
          </cell>
          <cell r="I7">
            <v>93201</v>
          </cell>
          <cell r="J7" t="str">
            <v>M0改:TOPウスGa(4147)</v>
          </cell>
          <cell r="K7" t="str">
            <v>RJ</v>
          </cell>
          <cell r="L7">
            <v>413</v>
          </cell>
          <cell r="M7" t="str">
            <v>BES-&gt;CBU8(全周)FLP10mm</v>
          </cell>
          <cell r="N7" t="str">
            <v>13.70J</v>
          </cell>
        </row>
        <row r="8">
          <cell r="A8" t="str">
            <v>A0937J93661</v>
          </cell>
          <cell r="B8">
            <v>35468</v>
          </cell>
          <cell r="C8" t="str">
            <v>7RSB001A</v>
          </cell>
          <cell r="D8">
            <v>305</v>
          </cell>
          <cell r="E8" t="str">
            <v>325/45R13</v>
          </cell>
          <cell r="F8" t="str">
            <v>RA21</v>
          </cell>
          <cell r="G8" t="str">
            <v>A0937J</v>
          </cell>
          <cell r="H8" t="str">
            <v>NN</v>
          </cell>
          <cell r="I8">
            <v>93661</v>
          </cell>
          <cell r="J8" t="str">
            <v>T0改:PLY22/22(=B0)</v>
          </cell>
          <cell r="K8" t="str">
            <v>R02</v>
          </cell>
          <cell r="L8">
            <v>438</v>
          </cell>
          <cell r="M8" t="str">
            <v>1,2P間セパ-&gt;2PCBU,FLP10mm</v>
          </cell>
          <cell r="N8" t="str">
            <v>13.70J</v>
          </cell>
        </row>
        <row r="9">
          <cell r="A9" t="str">
            <v>A1937J91255</v>
          </cell>
          <cell r="B9">
            <v>35468</v>
          </cell>
          <cell r="C9" t="str">
            <v>7RSB001A</v>
          </cell>
          <cell r="D9">
            <v>305</v>
          </cell>
          <cell r="E9" t="str">
            <v>325/45R13</v>
          </cell>
          <cell r="F9" t="str">
            <v>RA21</v>
          </cell>
          <cell r="G9" t="str">
            <v>A1937J</v>
          </cell>
          <cell r="H9" t="str">
            <v>NN</v>
          </cell>
          <cell r="I9">
            <v>91255</v>
          </cell>
          <cell r="J9" t="str">
            <v>A0改:FLI+2INS</v>
          </cell>
          <cell r="K9" t="str">
            <v>R02</v>
          </cell>
          <cell r="L9">
            <v>441</v>
          </cell>
          <cell r="M9" t="str">
            <v>1,2P間セパ-&gt;2PCBU,FLP10mm</v>
          </cell>
          <cell r="N9" t="str">
            <v>13.70J</v>
          </cell>
        </row>
        <row r="10">
          <cell r="A10" t="str">
            <v>L0937J92495</v>
          </cell>
          <cell r="B10">
            <v>35468</v>
          </cell>
          <cell r="C10" t="str">
            <v>7RSB001A</v>
          </cell>
          <cell r="D10">
            <v>305</v>
          </cell>
          <cell r="E10" t="str">
            <v>325/45R13</v>
          </cell>
          <cell r="F10" t="str">
            <v>RA21</v>
          </cell>
          <cell r="G10" t="str">
            <v>L0937J</v>
          </cell>
          <cell r="H10" t="str">
            <v>NN</v>
          </cell>
          <cell r="I10">
            <v>92495</v>
          </cell>
          <cell r="J10" t="str">
            <v>T0改:BEG除去</v>
          </cell>
          <cell r="K10" t="str">
            <v>R02</v>
          </cell>
          <cell r="L10">
            <v>329</v>
          </cell>
          <cell r="M10" t="str">
            <v>BES-&gt;1.2P間ｾﾊﾟ-&gt;CBU,FLP5mm</v>
          </cell>
          <cell r="N10" t="str">
            <v>13.70J</v>
          </cell>
        </row>
        <row r="11">
          <cell r="A11" t="str">
            <v>L0937J92498</v>
          </cell>
          <cell r="B11">
            <v>35468</v>
          </cell>
          <cell r="C11" t="str">
            <v>7RSB001A</v>
          </cell>
          <cell r="D11">
            <v>305</v>
          </cell>
          <cell r="E11" t="str">
            <v>325/45R13</v>
          </cell>
          <cell r="F11" t="str">
            <v>RA21</v>
          </cell>
          <cell r="G11" t="str">
            <v>L0937J</v>
          </cell>
          <cell r="H11" t="str">
            <v>G1</v>
          </cell>
          <cell r="I11">
            <v>92498</v>
          </cell>
          <cell r="J11" t="str">
            <v>T0改:BUC除去</v>
          </cell>
          <cell r="K11" t="str">
            <v>R02</v>
          </cell>
          <cell r="L11">
            <v>365</v>
          </cell>
          <cell r="M11" t="str">
            <v>BES=&gt;CBU,1部1B端切れ,FLP10mm</v>
          </cell>
          <cell r="N11" t="str">
            <v>13.70J</v>
          </cell>
        </row>
        <row r="12">
          <cell r="A12" t="str">
            <v>L0937J92500</v>
          </cell>
          <cell r="B12">
            <v>35468</v>
          </cell>
          <cell r="C12" t="str">
            <v>7RSB001A</v>
          </cell>
          <cell r="D12">
            <v>305</v>
          </cell>
          <cell r="E12" t="str">
            <v>325/45R13</v>
          </cell>
          <cell r="F12" t="str">
            <v>RA21</v>
          </cell>
          <cell r="G12" t="str">
            <v>L0937J</v>
          </cell>
          <cell r="H12" t="str">
            <v>G2</v>
          </cell>
          <cell r="I12">
            <v>92500</v>
          </cell>
          <cell r="J12" t="str">
            <v>T0改:BUCｽｷｰｼﾞ化</v>
          </cell>
          <cell r="K12" t="str">
            <v>R02</v>
          </cell>
          <cell r="L12">
            <v>325</v>
          </cell>
          <cell r="M12" t="str">
            <v>BES=&gt;CBU,1部1B端切れ,FLP5mm</v>
          </cell>
          <cell r="N12" t="str">
            <v>13.70J</v>
          </cell>
        </row>
        <row r="13">
          <cell r="A13" t="str">
            <v>S5937J93577</v>
          </cell>
          <cell r="B13">
            <v>35468</v>
          </cell>
          <cell r="C13" t="str">
            <v>7RSB001A</v>
          </cell>
          <cell r="D13">
            <v>305</v>
          </cell>
          <cell r="E13" t="str">
            <v>325/45R13</v>
          </cell>
          <cell r="F13" t="str">
            <v>RA21</v>
          </cell>
          <cell r="G13" t="str">
            <v>S5937J</v>
          </cell>
          <cell r="H13" t="str">
            <v>NN</v>
          </cell>
          <cell r="I13">
            <v>93577</v>
          </cell>
          <cell r="J13" t="str">
            <v>T2改:BELT65/50</v>
          </cell>
          <cell r="K13" t="str">
            <v>R02</v>
          </cell>
          <cell r="L13">
            <v>402</v>
          </cell>
          <cell r="M13" t="str">
            <v>BES-&gt;BLC,FLP10mm</v>
          </cell>
          <cell r="N13" t="str">
            <v>13.70J</v>
          </cell>
        </row>
        <row r="14">
          <cell r="A14" t="str">
            <v>T0937J93590</v>
          </cell>
          <cell r="B14">
            <v>35468</v>
          </cell>
          <cell r="C14" t="str">
            <v>7RSB001A</v>
          </cell>
          <cell r="D14">
            <v>305</v>
          </cell>
          <cell r="E14" t="str">
            <v>325/45R13</v>
          </cell>
          <cell r="F14" t="str">
            <v>RA21</v>
          </cell>
          <cell r="G14" t="str">
            <v>T0937J</v>
          </cell>
          <cell r="H14" t="str">
            <v>NN</v>
          </cell>
          <cell r="I14">
            <v>93590</v>
          </cell>
          <cell r="J14" t="str">
            <v>M0改:TOPウスGa(4007)</v>
          </cell>
          <cell r="K14" t="str">
            <v>R02</v>
          </cell>
          <cell r="L14">
            <v>271</v>
          </cell>
          <cell r="M14" t="str">
            <v>BES-&gt;1.2P間ｾﾊﾟ-&gt;CBU,FLP10mm</v>
          </cell>
          <cell r="N14" t="str">
            <v>13.70J</v>
          </cell>
        </row>
        <row r="15">
          <cell r="A15" t="str">
            <v>T2937J66954</v>
          </cell>
          <cell r="B15">
            <v>35468</v>
          </cell>
          <cell r="C15" t="str">
            <v>7RSB001A</v>
          </cell>
          <cell r="D15">
            <v>305</v>
          </cell>
          <cell r="E15" t="str">
            <v>325/45R13</v>
          </cell>
          <cell r="F15" t="str">
            <v>RA21</v>
          </cell>
          <cell r="G15" t="str">
            <v>T2937J</v>
          </cell>
          <cell r="H15" t="str">
            <v>NN</v>
          </cell>
          <cell r="I15">
            <v>66954</v>
          </cell>
          <cell r="J15" t="str">
            <v>T0改:FLI+2INS</v>
          </cell>
          <cell r="K15" t="str">
            <v>R02</v>
          </cell>
          <cell r="L15">
            <v>363</v>
          </cell>
          <cell r="M15" t="str">
            <v>BES-&gt;CBU,FLP20mm</v>
          </cell>
          <cell r="N15" t="str">
            <v>13.70J</v>
          </cell>
        </row>
        <row r="16">
          <cell r="A16" t="str">
            <v>T7937J64894</v>
          </cell>
          <cell r="B16">
            <v>35468</v>
          </cell>
          <cell r="C16" t="str">
            <v>7RSB001A</v>
          </cell>
          <cell r="D16">
            <v>305</v>
          </cell>
          <cell r="E16" t="str">
            <v>325/45R13</v>
          </cell>
          <cell r="F16" t="str">
            <v>RA21</v>
          </cell>
          <cell r="G16" t="str">
            <v>T7937J</v>
          </cell>
          <cell r="H16" t="str">
            <v>NN</v>
          </cell>
          <cell r="I16">
            <v>64894</v>
          </cell>
          <cell r="J16" t="str">
            <v>T0改:BELT70/50</v>
          </cell>
          <cell r="K16" t="str">
            <v>R02</v>
          </cell>
          <cell r="L16">
            <v>402</v>
          </cell>
          <cell r="M16" t="str">
            <v>BES=&gt;CBU,FLP大</v>
          </cell>
          <cell r="N16" t="str">
            <v>13.70J</v>
          </cell>
        </row>
        <row r="17">
          <cell r="A17" t="str">
            <v>L2937J92430</v>
          </cell>
          <cell r="B17">
            <v>35468</v>
          </cell>
          <cell r="C17" t="str">
            <v>7RSB001A</v>
          </cell>
          <cell r="D17">
            <v>307</v>
          </cell>
          <cell r="E17" t="str">
            <v>325/45R13</v>
          </cell>
          <cell r="F17" t="str">
            <v>RA21</v>
          </cell>
          <cell r="G17" t="str">
            <v>L2937J</v>
          </cell>
          <cell r="H17" t="str">
            <v>NN</v>
          </cell>
          <cell r="I17">
            <v>92430</v>
          </cell>
          <cell r="J17" t="str">
            <v>T2改:KEV FLP+2KEV/I</v>
          </cell>
          <cell r="K17" t="str">
            <v>R02</v>
          </cell>
          <cell r="L17">
            <v>326</v>
          </cell>
          <cell r="M17" t="str">
            <v>1,2P間セパ-&gt;1PCBU,FLP2mm</v>
          </cell>
          <cell r="N17" t="str">
            <v>13.70J</v>
          </cell>
        </row>
        <row r="18">
          <cell r="A18" t="str">
            <v>L2937J92432</v>
          </cell>
          <cell r="B18">
            <v>35468</v>
          </cell>
          <cell r="C18" t="str">
            <v>7RSB001A</v>
          </cell>
          <cell r="D18">
            <v>307</v>
          </cell>
          <cell r="E18" t="str">
            <v>325/45R13</v>
          </cell>
          <cell r="F18" t="str">
            <v>RA21</v>
          </cell>
          <cell r="G18" t="str">
            <v>L2937J</v>
          </cell>
          <cell r="H18" t="str">
            <v>B1</v>
          </cell>
          <cell r="I18">
            <v>92432</v>
          </cell>
          <cell r="J18" t="str">
            <v>T2改:KEV FLP+2ST/I</v>
          </cell>
          <cell r="K18" t="str">
            <v>R02</v>
          </cell>
          <cell r="L18">
            <v>333</v>
          </cell>
          <cell r="M18" t="str">
            <v>1,2P間セパ-&gt;1PCBU,FLP10mm,ST/I OK</v>
          </cell>
          <cell r="N18" t="str">
            <v>13.70J</v>
          </cell>
        </row>
        <row r="19">
          <cell r="A19" t="str">
            <v>L3937J92461</v>
          </cell>
          <cell r="B19">
            <v>35468</v>
          </cell>
          <cell r="C19" t="str">
            <v>7RSB001A</v>
          </cell>
          <cell r="D19">
            <v>307</v>
          </cell>
          <cell r="E19" t="str">
            <v>325/45R13</v>
          </cell>
          <cell r="F19" t="str">
            <v>RA21</v>
          </cell>
          <cell r="G19" t="str">
            <v>L3937J</v>
          </cell>
          <cell r="H19" t="str">
            <v>NN</v>
          </cell>
          <cell r="I19">
            <v>92461</v>
          </cell>
          <cell r="J19" t="str">
            <v>T0改:低撚りPLY</v>
          </cell>
          <cell r="K19" t="str">
            <v>R02</v>
          </cell>
          <cell r="L19">
            <v>261</v>
          </cell>
          <cell r="M19" t="str">
            <v>1,2P間セパ-&gt;1PCBU,FLP OK</v>
          </cell>
          <cell r="N19" t="str">
            <v>13.70J</v>
          </cell>
        </row>
        <row r="20">
          <cell r="A20" t="str">
            <v>L4937J92452</v>
          </cell>
          <cell r="B20">
            <v>35468</v>
          </cell>
          <cell r="C20" t="str">
            <v>7RSB001A</v>
          </cell>
          <cell r="D20">
            <v>307</v>
          </cell>
          <cell r="E20" t="str">
            <v>325/45R13</v>
          </cell>
          <cell r="F20" t="str">
            <v>RA21</v>
          </cell>
          <cell r="G20" t="str">
            <v>L4937J</v>
          </cell>
          <cell r="H20" t="str">
            <v>NN</v>
          </cell>
          <cell r="I20">
            <v>92452</v>
          </cell>
          <cell r="J20" t="str">
            <v>T0改:LY端１回巻</v>
          </cell>
          <cell r="K20" t="str">
            <v>R02</v>
          </cell>
          <cell r="L20">
            <v>383</v>
          </cell>
          <cell r="M20" t="str">
            <v>1,2P間セパ-&gt;1PCBU,BES-&gt;CBU,FLP10mm</v>
          </cell>
          <cell r="N20" t="str">
            <v>13.70J</v>
          </cell>
        </row>
        <row r="21">
          <cell r="A21" t="str">
            <v>L4937J92456</v>
          </cell>
          <cell r="B21">
            <v>35468</v>
          </cell>
          <cell r="C21" t="str">
            <v>7RSB001A</v>
          </cell>
          <cell r="D21">
            <v>307</v>
          </cell>
          <cell r="E21" t="str">
            <v>325/45R13</v>
          </cell>
          <cell r="F21" t="str">
            <v>RA21</v>
          </cell>
          <cell r="G21" t="str">
            <v>L4937J</v>
          </cell>
          <cell r="H21" t="str">
            <v>B1</v>
          </cell>
          <cell r="I21">
            <v>92456</v>
          </cell>
          <cell r="J21" t="str">
            <v>L4改:FOLD幅UP</v>
          </cell>
          <cell r="K21" t="str">
            <v>R02</v>
          </cell>
          <cell r="L21">
            <v>379</v>
          </cell>
          <cell r="M21" t="str">
            <v>BES-&gt;CBU,FLP2mm</v>
          </cell>
          <cell r="N21" t="str">
            <v>13.70J</v>
          </cell>
        </row>
        <row r="22">
          <cell r="A22" t="str">
            <v>L4937J92460</v>
          </cell>
          <cell r="B22">
            <v>35468</v>
          </cell>
          <cell r="C22" t="str">
            <v>7RSB001A</v>
          </cell>
          <cell r="D22">
            <v>307</v>
          </cell>
          <cell r="E22" t="str">
            <v>325/45R13</v>
          </cell>
          <cell r="F22" t="str">
            <v>RA21</v>
          </cell>
          <cell r="G22" t="str">
            <v>L4937J</v>
          </cell>
          <cell r="H22" t="str">
            <v>B2</v>
          </cell>
          <cell r="I22">
            <v>92460</v>
          </cell>
          <cell r="J22" t="str">
            <v>L4改:LY除去</v>
          </cell>
          <cell r="K22" t="str">
            <v>R02</v>
          </cell>
          <cell r="L22">
            <v>281</v>
          </cell>
          <cell r="M22" t="str">
            <v>1,2P間セパ-&gt;1PCBU,BES-&gt;CBU,FLP5mm</v>
          </cell>
          <cell r="N22" t="str">
            <v>13.70J</v>
          </cell>
        </row>
        <row r="23">
          <cell r="A23" t="str">
            <v>L5937J92504</v>
          </cell>
          <cell r="B23">
            <v>35468</v>
          </cell>
          <cell r="C23" t="str">
            <v>7RSB001A</v>
          </cell>
          <cell r="D23">
            <v>307</v>
          </cell>
          <cell r="E23" t="str">
            <v>325/45R13</v>
          </cell>
          <cell r="F23" t="str">
            <v>RA21</v>
          </cell>
          <cell r="G23" t="str">
            <v>L5937J</v>
          </cell>
          <cell r="H23" t="str">
            <v>NN</v>
          </cell>
          <cell r="I23">
            <v>92504</v>
          </cell>
          <cell r="J23" t="str">
            <v>T0改:ST-KEV FOLD</v>
          </cell>
          <cell r="K23" t="str">
            <v>R02</v>
          </cell>
          <cell r="L23">
            <v>286</v>
          </cell>
          <cell r="M23" t="str">
            <v>1B端下1P&amp;2PCBU,KEV-ST間ｾﾊﾟOK</v>
          </cell>
          <cell r="N23" t="str">
            <v>13.70J</v>
          </cell>
        </row>
        <row r="24">
          <cell r="A24" t="str">
            <v>L6937J92475</v>
          </cell>
          <cell r="B24">
            <v>35468</v>
          </cell>
          <cell r="C24" t="str">
            <v>7RSB001A</v>
          </cell>
          <cell r="D24">
            <v>307</v>
          </cell>
          <cell r="E24" t="str">
            <v>325/45R13</v>
          </cell>
          <cell r="F24" t="str">
            <v>RA21</v>
          </cell>
          <cell r="G24" t="str">
            <v>L6937J</v>
          </cell>
          <cell r="H24" t="str">
            <v>NN</v>
          </cell>
          <cell r="I24">
            <v>92475</v>
          </cell>
          <cell r="J24" t="str">
            <v>T0改:60/60+1CAP</v>
          </cell>
          <cell r="K24" t="str">
            <v>R02</v>
          </cell>
          <cell r="L24">
            <v>253</v>
          </cell>
          <cell r="M24" t="str">
            <v>1,2P間セパ-&gt;1PCBU,BES-&gt;CBU</v>
          </cell>
          <cell r="N24" t="str">
            <v>13.70J</v>
          </cell>
        </row>
        <row r="25">
          <cell r="A25" t="str">
            <v>L6937J92480</v>
          </cell>
          <cell r="B25">
            <v>35468</v>
          </cell>
          <cell r="C25" t="str">
            <v>7RSB001A</v>
          </cell>
          <cell r="D25">
            <v>307</v>
          </cell>
          <cell r="E25" t="str">
            <v>325/45R13</v>
          </cell>
          <cell r="F25" t="str">
            <v>RA21</v>
          </cell>
          <cell r="G25" t="str">
            <v>L6937J</v>
          </cell>
          <cell r="H25" t="str">
            <v>Y1</v>
          </cell>
          <cell r="I25">
            <v>92480</v>
          </cell>
          <cell r="J25" t="str">
            <v>T0改:60/60+C/L</v>
          </cell>
          <cell r="K25" t="str">
            <v>R02</v>
          </cell>
          <cell r="L25">
            <v>255</v>
          </cell>
          <cell r="M25" t="str">
            <v>1,2P間セパ-&gt;1PCBU</v>
          </cell>
          <cell r="N25" t="str">
            <v>13.70J</v>
          </cell>
        </row>
        <row r="26">
          <cell r="A26" t="str">
            <v>L7937J93659</v>
          </cell>
          <cell r="B26">
            <v>35468</v>
          </cell>
          <cell r="C26" t="str">
            <v>7RSB001A</v>
          </cell>
          <cell r="D26">
            <v>307</v>
          </cell>
          <cell r="E26" t="str">
            <v>325/45R13</v>
          </cell>
          <cell r="F26" t="str">
            <v>RA21</v>
          </cell>
          <cell r="G26" t="str">
            <v>L7937J</v>
          </cell>
          <cell r="H26" t="str">
            <v>NN</v>
          </cell>
          <cell r="I26">
            <v>93659</v>
          </cell>
          <cell r="J26" t="str">
            <v>T2改:FLP貼り方向逆ハの字</v>
          </cell>
          <cell r="K26" t="str">
            <v>R02</v>
          </cell>
          <cell r="L26">
            <v>448</v>
          </cell>
          <cell r="M26" t="str">
            <v>1,2P間セパ-&gt;CBU,FLP2mm</v>
          </cell>
          <cell r="N26" t="str">
            <v>13.70J</v>
          </cell>
        </row>
        <row r="27">
          <cell r="A27" t="str">
            <v>T0937J93602</v>
          </cell>
          <cell r="B27">
            <v>35468</v>
          </cell>
          <cell r="C27" t="str">
            <v>7RSB001A</v>
          </cell>
          <cell r="D27">
            <v>307</v>
          </cell>
          <cell r="E27" t="str">
            <v>325/45R13</v>
          </cell>
          <cell r="F27" t="str">
            <v>RA21</v>
          </cell>
          <cell r="G27" t="str">
            <v>T0937J</v>
          </cell>
          <cell r="H27" t="str">
            <v>NN</v>
          </cell>
          <cell r="I27">
            <v>93602</v>
          </cell>
          <cell r="J27" t="str">
            <v>M0改:TOPウスGa(4007)</v>
          </cell>
          <cell r="K27" t="str">
            <v>R02</v>
          </cell>
          <cell r="L27">
            <v>453</v>
          </cell>
          <cell r="M27" t="str">
            <v>1,2P間セパ-&gt;CBU,FLP10mm</v>
          </cell>
          <cell r="N27" t="str">
            <v>13.70J</v>
          </cell>
        </row>
        <row r="28">
          <cell r="A28" t="str">
            <v>T1937J92506</v>
          </cell>
          <cell r="B28">
            <v>35468</v>
          </cell>
          <cell r="C28" t="str">
            <v>7RSB001A</v>
          </cell>
          <cell r="D28">
            <v>307</v>
          </cell>
          <cell r="E28" t="str">
            <v>325/45R13</v>
          </cell>
          <cell r="F28" t="str">
            <v>RA21</v>
          </cell>
          <cell r="G28" t="str">
            <v>T1937J</v>
          </cell>
          <cell r="H28" t="str">
            <v>NN</v>
          </cell>
          <cell r="I28">
            <v>92506</v>
          </cell>
          <cell r="J28" t="str">
            <v>T0改:ENV</v>
          </cell>
          <cell r="K28" t="str">
            <v>R02</v>
          </cell>
          <cell r="L28">
            <v>256</v>
          </cell>
          <cell r="M28" t="str">
            <v>1B端下1P-&gt;2PCBU</v>
          </cell>
          <cell r="N28" t="str">
            <v>13.70J</v>
          </cell>
        </row>
        <row r="29">
          <cell r="A29" t="str">
            <v>T6937J64904</v>
          </cell>
          <cell r="B29">
            <v>35468</v>
          </cell>
          <cell r="C29" t="str">
            <v>7RSB001A</v>
          </cell>
          <cell r="D29">
            <v>307</v>
          </cell>
          <cell r="E29" t="str">
            <v>325/45R13</v>
          </cell>
          <cell r="F29" t="str">
            <v>RA21</v>
          </cell>
          <cell r="G29" t="str">
            <v>T6937J</v>
          </cell>
          <cell r="H29" t="str">
            <v>NN</v>
          </cell>
          <cell r="I29">
            <v>64904</v>
          </cell>
          <cell r="J29" t="str">
            <v>T0改:BELT 60/60</v>
          </cell>
          <cell r="K29" t="str">
            <v>R02</v>
          </cell>
          <cell r="L29">
            <v>311</v>
          </cell>
          <cell r="M29" t="str">
            <v>BES-&gt;CBU,FLP10mm</v>
          </cell>
          <cell r="N29" t="str">
            <v>13.70J</v>
          </cell>
        </row>
        <row r="30">
          <cell r="A30" t="str">
            <v>B0001J94904</v>
          </cell>
          <cell r="B30">
            <v>35468</v>
          </cell>
          <cell r="C30" t="str">
            <v>7RSB001A</v>
          </cell>
          <cell r="D30">
            <v>308</v>
          </cell>
          <cell r="E30" t="str">
            <v>325/45R13</v>
          </cell>
          <cell r="F30" t="str">
            <v>RA21</v>
          </cell>
          <cell r="G30" t="str">
            <v>B0001J</v>
          </cell>
          <cell r="H30" t="str">
            <v>NN</v>
          </cell>
          <cell r="I30">
            <v>94904</v>
          </cell>
          <cell r="J30" t="str">
            <v>RD1 RACE SPEC:COMP'D-937(4024)</v>
          </cell>
          <cell r="K30" t="str">
            <v>R02</v>
          </cell>
          <cell r="L30">
            <v>431</v>
          </cell>
          <cell r="M30" t="str">
            <v>1,2P間セパ-&gt;CBU</v>
          </cell>
          <cell r="N30" t="str">
            <v>13.70J</v>
          </cell>
        </row>
        <row r="31">
          <cell r="A31" t="str">
            <v>B0001J94996</v>
          </cell>
          <cell r="B31">
            <v>35468</v>
          </cell>
          <cell r="C31" t="str">
            <v>7RSB001A</v>
          </cell>
          <cell r="D31">
            <v>308</v>
          </cell>
          <cell r="E31" t="str">
            <v>325/45R13</v>
          </cell>
          <cell r="F31" t="str">
            <v>RA21</v>
          </cell>
          <cell r="G31" t="str">
            <v>B0001J</v>
          </cell>
          <cell r="H31" t="str">
            <v>NN</v>
          </cell>
          <cell r="I31">
            <v>94996</v>
          </cell>
          <cell r="J31" t="str">
            <v>RD1 RACE SPEC:COMP'D-937(4027)</v>
          </cell>
          <cell r="K31" t="str">
            <v>R02</v>
          </cell>
          <cell r="L31">
            <v>414</v>
          </cell>
          <cell r="M31" t="str">
            <v>BES-&gt;BLC-&gt;BLB-&gt;CBU</v>
          </cell>
          <cell r="N31" t="str">
            <v>13.70J</v>
          </cell>
        </row>
        <row r="32">
          <cell r="A32" t="str">
            <v>B0002J94792</v>
          </cell>
          <cell r="B32">
            <v>35468</v>
          </cell>
          <cell r="C32" t="str">
            <v>7RSB001A</v>
          </cell>
          <cell r="D32">
            <v>308</v>
          </cell>
          <cell r="E32" t="str">
            <v>325/45R13</v>
          </cell>
          <cell r="F32" t="str">
            <v>RA21</v>
          </cell>
          <cell r="G32" t="str">
            <v>B0002J</v>
          </cell>
          <cell r="H32" t="str">
            <v>NN</v>
          </cell>
          <cell r="I32">
            <v>94792</v>
          </cell>
          <cell r="J32" t="str">
            <v>RD1 RACE SPEC:COMP'D-937(4023)</v>
          </cell>
          <cell r="K32" t="str">
            <v>R03</v>
          </cell>
          <cell r="L32">
            <v>439</v>
          </cell>
          <cell r="M32" t="str">
            <v>BES-&gt;1-2P間ｾﾊﾟ-&gt;CBU</v>
          </cell>
          <cell r="N32" t="str">
            <v>13.70J</v>
          </cell>
        </row>
        <row r="33">
          <cell r="A33" t="str">
            <v>B0002J94776</v>
          </cell>
          <cell r="B33">
            <v>35468</v>
          </cell>
          <cell r="C33" t="str">
            <v>7RSB001A</v>
          </cell>
          <cell r="D33">
            <v>308</v>
          </cell>
          <cell r="E33" t="str">
            <v>325/45R13</v>
          </cell>
          <cell r="F33" t="str">
            <v>RA21</v>
          </cell>
          <cell r="G33" t="str">
            <v>B0002J</v>
          </cell>
          <cell r="H33" t="str">
            <v>NN</v>
          </cell>
          <cell r="I33">
            <v>94776</v>
          </cell>
          <cell r="J33" t="str">
            <v>RD1 RACE SPEC:COMP'D-937(4028)</v>
          </cell>
          <cell r="K33" t="str">
            <v>R03</v>
          </cell>
          <cell r="L33">
            <v>429</v>
          </cell>
          <cell r="M33" t="str">
            <v>BES-&gt;1-2P間ｾﾊﾟ-&gt;CBU</v>
          </cell>
          <cell r="N33" t="str">
            <v>13.70J</v>
          </cell>
        </row>
        <row r="34">
          <cell r="A34" t="str">
            <v>B0003J99313</v>
          </cell>
          <cell r="B34">
            <v>35468</v>
          </cell>
          <cell r="C34" t="str">
            <v>7RSB001A</v>
          </cell>
          <cell r="D34">
            <v>309</v>
          </cell>
          <cell r="E34" t="str">
            <v>325/45R13</v>
          </cell>
          <cell r="F34" t="str">
            <v>RA21</v>
          </cell>
          <cell r="G34" t="str">
            <v>B0003J</v>
          </cell>
          <cell r="H34" t="str">
            <v>NN</v>
          </cell>
          <cell r="I34">
            <v>99313</v>
          </cell>
          <cell r="J34" t="str">
            <v>RD1 RACE SPEC:COMP'D-061(4815)</v>
          </cell>
          <cell r="K34" t="str">
            <v>R02</v>
          </cell>
          <cell r="L34">
            <v>371</v>
          </cell>
          <cell r="M34" t="str">
            <v>BES-&gt;1-2P間ｾﾊﾟ-&gt;CBU,FLPｾﾊﾟ大</v>
          </cell>
          <cell r="N34" t="str">
            <v>13.70J</v>
          </cell>
        </row>
        <row r="35">
          <cell r="A35" t="str">
            <v>B0004J99560</v>
          </cell>
          <cell r="B35">
            <v>35468</v>
          </cell>
          <cell r="C35" t="str">
            <v>7RSB001A</v>
          </cell>
          <cell r="D35">
            <v>309</v>
          </cell>
          <cell r="E35" t="str">
            <v>325/45R13</v>
          </cell>
          <cell r="F35" t="str">
            <v>RA21</v>
          </cell>
          <cell r="G35" t="str">
            <v>B0004J</v>
          </cell>
          <cell r="H35" t="str">
            <v>NN</v>
          </cell>
          <cell r="I35">
            <v>99560</v>
          </cell>
          <cell r="J35" t="str">
            <v>RD1 RACE SPEC:COMP'D-061(4816)</v>
          </cell>
          <cell r="K35" t="str">
            <v>R03</v>
          </cell>
          <cell r="L35">
            <v>383</v>
          </cell>
          <cell r="M35" t="str">
            <v>BES-&gt;CBU,FLP10mm,ｴｱ入り部は故障の核とはなっていない</v>
          </cell>
          <cell r="N35" t="str">
            <v>13.70J</v>
          </cell>
        </row>
        <row r="36">
          <cell r="A36" t="str">
            <v>B0004J99547</v>
          </cell>
          <cell r="B36">
            <v>35468</v>
          </cell>
          <cell r="C36" t="str">
            <v>7RSB001A</v>
          </cell>
          <cell r="D36">
            <v>309</v>
          </cell>
          <cell r="E36" t="str">
            <v>325/45R13</v>
          </cell>
          <cell r="F36" t="str">
            <v>RA21</v>
          </cell>
          <cell r="G36" t="str">
            <v>B0004J</v>
          </cell>
          <cell r="H36" t="str">
            <v>NN</v>
          </cell>
          <cell r="I36">
            <v>99547</v>
          </cell>
          <cell r="J36" t="str">
            <v>RD1 RACE SPEC:COMP'D-061(4816)</v>
          </cell>
          <cell r="K36" t="str">
            <v>R03</v>
          </cell>
          <cell r="L36">
            <v>361</v>
          </cell>
          <cell r="M36" t="str">
            <v>CBU3/4周,FLP10mm</v>
          </cell>
          <cell r="N36" t="str">
            <v>13.70J</v>
          </cell>
        </row>
        <row r="37">
          <cell r="A37" t="str">
            <v>L2937J92429</v>
          </cell>
          <cell r="B37">
            <v>35487</v>
          </cell>
          <cell r="C37" t="str">
            <v>7RSB001A</v>
          </cell>
          <cell r="D37">
            <v>310</v>
          </cell>
          <cell r="E37" t="str">
            <v>325/45R13</v>
          </cell>
          <cell r="F37" t="str">
            <v>RA21</v>
          </cell>
          <cell r="G37" t="str">
            <v>L2937J</v>
          </cell>
          <cell r="H37" t="str">
            <v>NN</v>
          </cell>
          <cell r="I37">
            <v>92429</v>
          </cell>
          <cell r="J37" t="str">
            <v>T2改:KEV FLP+2KEV/I</v>
          </cell>
          <cell r="K37" t="str">
            <v>R02</v>
          </cell>
          <cell r="L37">
            <v>284</v>
          </cell>
          <cell r="M37" t="str">
            <v>1B端下1PCBU1/2周,2PCBU1/4周</v>
          </cell>
          <cell r="N37" t="str">
            <v>13.70J</v>
          </cell>
        </row>
        <row r="38">
          <cell r="A38" t="str">
            <v>L2937J92431</v>
          </cell>
          <cell r="B38">
            <v>35487</v>
          </cell>
          <cell r="C38" t="str">
            <v>7RSB001A</v>
          </cell>
          <cell r="D38">
            <v>310</v>
          </cell>
          <cell r="E38" t="str">
            <v>325/45R13</v>
          </cell>
          <cell r="F38" t="str">
            <v>RA21</v>
          </cell>
          <cell r="G38" t="str">
            <v>L2937J</v>
          </cell>
          <cell r="H38" t="str">
            <v>B1</v>
          </cell>
          <cell r="I38">
            <v>92431</v>
          </cell>
          <cell r="J38" t="str">
            <v>T2改:KEV FLP+2ST/I</v>
          </cell>
          <cell r="K38" t="str">
            <v>R02</v>
          </cell>
          <cell r="L38">
            <v>312</v>
          </cell>
          <cell r="M38" t="str">
            <v>1B端下1P＆2PCBU3/4周,一部BES,ST-KEV間ｾﾊﾟOK</v>
          </cell>
          <cell r="N38" t="str">
            <v>13.70J</v>
          </cell>
        </row>
        <row r="39">
          <cell r="A39" t="str">
            <v>L3937J92462</v>
          </cell>
          <cell r="B39">
            <v>35487</v>
          </cell>
          <cell r="C39" t="str">
            <v>7RSB001A</v>
          </cell>
          <cell r="D39">
            <v>310</v>
          </cell>
          <cell r="E39" t="str">
            <v>325/45R13</v>
          </cell>
          <cell r="F39" t="str">
            <v>RA21</v>
          </cell>
          <cell r="G39" t="str">
            <v>L3937J</v>
          </cell>
          <cell r="H39" t="str">
            <v>NN</v>
          </cell>
          <cell r="I39">
            <v>92462</v>
          </cell>
          <cell r="J39" t="str">
            <v>T0改:低撚りPLY</v>
          </cell>
          <cell r="K39" t="str">
            <v>R02</v>
          </cell>
          <cell r="L39">
            <v>256</v>
          </cell>
          <cell r="M39" t="str">
            <v>1B端下1PCBU1/2周,一部2PCBU,一部BES,FLPOK</v>
          </cell>
          <cell r="N39" t="str">
            <v>13.70J</v>
          </cell>
        </row>
        <row r="40">
          <cell r="A40" t="str">
            <v>L4937J92455</v>
          </cell>
          <cell r="B40">
            <v>35487</v>
          </cell>
          <cell r="C40" t="str">
            <v>7RSB001A</v>
          </cell>
          <cell r="D40">
            <v>310</v>
          </cell>
          <cell r="E40" t="str">
            <v>325/45R13</v>
          </cell>
          <cell r="F40" t="str">
            <v>RA21</v>
          </cell>
          <cell r="G40" t="str">
            <v>L4937J</v>
          </cell>
          <cell r="H40" t="str">
            <v>B1</v>
          </cell>
          <cell r="I40">
            <v>92455</v>
          </cell>
          <cell r="J40" t="str">
            <v>L4改:FOLD幅UP</v>
          </cell>
          <cell r="K40" t="str">
            <v>R02</v>
          </cell>
          <cell r="L40">
            <v>353</v>
          </cell>
          <cell r="M40" t="str">
            <v>1B端下CBU3/4周,FLP10mm</v>
          </cell>
          <cell r="N40" t="str">
            <v>13.70J</v>
          </cell>
        </row>
        <row r="41">
          <cell r="A41" t="str">
            <v>L4937J92459</v>
          </cell>
          <cell r="B41">
            <v>35487</v>
          </cell>
          <cell r="C41" t="str">
            <v>7RSB001A</v>
          </cell>
          <cell r="D41">
            <v>310</v>
          </cell>
          <cell r="E41" t="str">
            <v>325/45R13</v>
          </cell>
          <cell r="F41" t="str">
            <v>RA21</v>
          </cell>
          <cell r="G41" t="str">
            <v>L4937J</v>
          </cell>
          <cell r="H41" t="str">
            <v>B2</v>
          </cell>
          <cell r="I41">
            <v>92459</v>
          </cell>
          <cell r="J41" t="str">
            <v>L4改:LY除去</v>
          </cell>
          <cell r="K41" t="str">
            <v>R02</v>
          </cell>
          <cell r="L41">
            <v>311</v>
          </cell>
          <cell r="M41" t="str">
            <v>1,2P間セパ-&gt;CBU</v>
          </cell>
          <cell r="N41" t="str">
            <v>13.70J</v>
          </cell>
        </row>
        <row r="42">
          <cell r="A42" t="str">
            <v>L5937J92502</v>
          </cell>
          <cell r="B42">
            <v>35487</v>
          </cell>
          <cell r="C42" t="str">
            <v>7RSB001A</v>
          </cell>
          <cell r="D42">
            <v>310</v>
          </cell>
          <cell r="E42" t="str">
            <v>325/45R13</v>
          </cell>
          <cell r="F42" t="str">
            <v>RA21</v>
          </cell>
          <cell r="G42" t="str">
            <v>L5937J</v>
          </cell>
          <cell r="H42" t="str">
            <v>NN</v>
          </cell>
          <cell r="I42">
            <v>92502</v>
          </cell>
          <cell r="J42" t="str">
            <v>T0改:ST-KEV FOLD</v>
          </cell>
          <cell r="K42" t="str">
            <v>R02</v>
          </cell>
          <cell r="L42">
            <v>289</v>
          </cell>
          <cell r="M42" t="str">
            <v>BES-&gt;CBU,ST-KEV間ｾﾊﾟOK</v>
          </cell>
          <cell r="N42" t="str">
            <v>13.70J</v>
          </cell>
        </row>
        <row r="43">
          <cell r="A43" t="str">
            <v>L6937J92474</v>
          </cell>
          <cell r="B43">
            <v>35487</v>
          </cell>
          <cell r="C43" t="str">
            <v>7RSB001A</v>
          </cell>
          <cell r="D43">
            <v>310</v>
          </cell>
          <cell r="E43" t="str">
            <v>325/45R13</v>
          </cell>
          <cell r="F43" t="str">
            <v>RA21</v>
          </cell>
          <cell r="G43" t="str">
            <v>L6937J</v>
          </cell>
          <cell r="H43" t="str">
            <v>NN</v>
          </cell>
          <cell r="I43">
            <v>92474</v>
          </cell>
          <cell r="J43" t="str">
            <v>T0改:60/60+1CAP</v>
          </cell>
          <cell r="K43" t="str">
            <v>R02</v>
          </cell>
          <cell r="L43">
            <v>251</v>
          </cell>
          <cell r="M43" t="str">
            <v>1,2P間セパ-&gt;CBU</v>
          </cell>
          <cell r="N43" t="str">
            <v>13.70J</v>
          </cell>
        </row>
        <row r="44">
          <cell r="A44" t="str">
            <v>L6937J92478</v>
          </cell>
          <cell r="B44">
            <v>35487</v>
          </cell>
          <cell r="C44" t="str">
            <v>7RSB001A</v>
          </cell>
          <cell r="D44">
            <v>310</v>
          </cell>
          <cell r="E44" t="str">
            <v>325/45R13</v>
          </cell>
          <cell r="F44" t="str">
            <v>RA21</v>
          </cell>
          <cell r="G44" t="str">
            <v>L6937J</v>
          </cell>
          <cell r="H44" t="str">
            <v>Y1</v>
          </cell>
          <cell r="I44">
            <v>92478</v>
          </cell>
          <cell r="J44" t="str">
            <v>T0改:60/60+C/L</v>
          </cell>
          <cell r="K44" t="str">
            <v>R02</v>
          </cell>
          <cell r="L44">
            <v>256</v>
          </cell>
          <cell r="M44" t="str">
            <v>1,2P間セパ-&gt;CBU</v>
          </cell>
          <cell r="N44" t="str">
            <v>13.70J</v>
          </cell>
        </row>
        <row r="45">
          <cell r="A45" t="str">
            <v>L7937J93657</v>
          </cell>
          <cell r="B45">
            <v>35487</v>
          </cell>
          <cell r="C45" t="str">
            <v>7RSB001A</v>
          </cell>
          <cell r="D45">
            <v>310</v>
          </cell>
          <cell r="E45" t="str">
            <v>325/45R13</v>
          </cell>
          <cell r="F45" t="str">
            <v>RA21</v>
          </cell>
          <cell r="G45" t="str">
            <v>L7937J</v>
          </cell>
          <cell r="H45" t="str">
            <v>NN</v>
          </cell>
          <cell r="I45">
            <v>93657</v>
          </cell>
          <cell r="J45" t="str">
            <v>T2改:FLP貼り方向逆ハの字</v>
          </cell>
          <cell r="K45" t="str">
            <v>R02</v>
          </cell>
          <cell r="L45">
            <v>471</v>
          </cell>
          <cell r="M45" t="str">
            <v>1,2P間セパ-&gt;CBU,FLP8mm</v>
          </cell>
          <cell r="N45" t="str">
            <v>13.70J</v>
          </cell>
        </row>
        <row r="46">
          <cell r="A46" t="str">
            <v>T0118J668</v>
          </cell>
          <cell r="B46">
            <v>35487</v>
          </cell>
          <cell r="C46" t="str">
            <v>7RSB001A</v>
          </cell>
          <cell r="D46">
            <v>310</v>
          </cell>
          <cell r="E46" t="str">
            <v>325/45R13</v>
          </cell>
          <cell r="F46" t="str">
            <v>RA21</v>
          </cell>
          <cell r="G46" t="str">
            <v>T0118J</v>
          </cell>
          <cell r="H46" t="str">
            <v>NN</v>
          </cell>
          <cell r="I46">
            <v>668</v>
          </cell>
          <cell r="J46" t="str">
            <v>COMP'D-118</v>
          </cell>
          <cell r="K46" t="str">
            <v>R02</v>
          </cell>
          <cell r="L46">
            <v>302</v>
          </cell>
          <cell r="M46" t="str">
            <v>1,2P間セパ-&gt;CBU,FLP5mm</v>
          </cell>
          <cell r="N46" t="str">
            <v>13.70J</v>
          </cell>
        </row>
        <row r="47">
          <cell r="A47" t="str">
            <v>T0125J661</v>
          </cell>
          <cell r="B47">
            <v>35487</v>
          </cell>
          <cell r="C47" t="str">
            <v>7RSB001A</v>
          </cell>
          <cell r="D47">
            <v>310</v>
          </cell>
          <cell r="E47" t="str">
            <v>325/45R13</v>
          </cell>
          <cell r="F47" t="str">
            <v>RA21</v>
          </cell>
          <cell r="G47" t="str">
            <v>T0125J</v>
          </cell>
          <cell r="H47" t="str">
            <v>NN</v>
          </cell>
          <cell r="I47">
            <v>661</v>
          </cell>
          <cell r="J47" t="str">
            <v>COMP'D-125</v>
          </cell>
          <cell r="K47" t="str">
            <v>R02</v>
          </cell>
          <cell r="L47">
            <v>299</v>
          </cell>
          <cell r="M47" t="str">
            <v>1,2P間セパ-&gt;CBU,FLP3mm</v>
          </cell>
          <cell r="N47" t="str">
            <v>13.70J</v>
          </cell>
        </row>
        <row r="48">
          <cell r="A48" t="str">
            <v>T0127J657</v>
          </cell>
          <cell r="B48">
            <v>35487</v>
          </cell>
          <cell r="C48" t="str">
            <v>7RSB001A</v>
          </cell>
          <cell r="D48">
            <v>310</v>
          </cell>
          <cell r="E48" t="str">
            <v>325/45R13</v>
          </cell>
          <cell r="F48" t="str">
            <v>RA21</v>
          </cell>
          <cell r="G48" t="str">
            <v>T0127J</v>
          </cell>
          <cell r="H48" t="str">
            <v>NN</v>
          </cell>
          <cell r="I48">
            <v>657</v>
          </cell>
          <cell r="J48" t="str">
            <v>COMP'D-127</v>
          </cell>
          <cell r="K48" t="str">
            <v>R02</v>
          </cell>
          <cell r="L48">
            <v>329</v>
          </cell>
          <cell r="M48" t="str">
            <v>1,2P間セパ-&gt;CBU,FLP5mm</v>
          </cell>
          <cell r="N48" t="str">
            <v>13.70J</v>
          </cell>
        </row>
        <row r="49">
          <cell r="A49" t="str">
            <v>T0937J93205</v>
          </cell>
          <cell r="B49">
            <v>35487</v>
          </cell>
          <cell r="C49" t="str">
            <v>7RSB001A</v>
          </cell>
          <cell r="D49">
            <v>310</v>
          </cell>
          <cell r="E49" t="str">
            <v>325/45R13</v>
          </cell>
          <cell r="F49" t="str">
            <v>RA21</v>
          </cell>
          <cell r="G49" t="str">
            <v>T0937J</v>
          </cell>
          <cell r="H49" t="str">
            <v>NN</v>
          </cell>
          <cell r="I49">
            <v>93205</v>
          </cell>
          <cell r="J49" t="str">
            <v>M0改:TOPウスGa(4147)</v>
          </cell>
          <cell r="K49" t="str">
            <v>R02</v>
          </cell>
          <cell r="L49">
            <v>317</v>
          </cell>
          <cell r="M49" t="str">
            <v>1B端下1P-&gt;2PCBU,FLP2mm</v>
          </cell>
          <cell r="N49" t="str">
            <v>13.70J</v>
          </cell>
        </row>
        <row r="50">
          <cell r="A50" t="str">
            <v>T0966J93803</v>
          </cell>
          <cell r="B50">
            <v>35487</v>
          </cell>
          <cell r="C50" t="str">
            <v>7RSB001A</v>
          </cell>
          <cell r="D50">
            <v>310</v>
          </cell>
          <cell r="E50" t="str">
            <v>325/45R13</v>
          </cell>
          <cell r="F50" t="str">
            <v>RA21</v>
          </cell>
          <cell r="G50" t="str">
            <v>T0966J</v>
          </cell>
          <cell r="H50" t="str">
            <v>NN</v>
          </cell>
          <cell r="I50">
            <v>93803</v>
          </cell>
          <cell r="J50" t="str">
            <v>COMP'D-966</v>
          </cell>
          <cell r="K50" t="str">
            <v>R02</v>
          </cell>
          <cell r="L50">
            <v>257</v>
          </cell>
          <cell r="M50" t="str">
            <v>1,2P間セパ-&gt;CBU,FLP OK</v>
          </cell>
          <cell r="N50" t="str">
            <v>13.70J</v>
          </cell>
        </row>
        <row r="51">
          <cell r="A51" t="str">
            <v>T1937J92507</v>
          </cell>
          <cell r="B51">
            <v>35487</v>
          </cell>
          <cell r="C51" t="str">
            <v>7RSB001A</v>
          </cell>
          <cell r="D51">
            <v>310</v>
          </cell>
          <cell r="E51" t="str">
            <v>325/45R13</v>
          </cell>
          <cell r="F51" t="str">
            <v>RA21</v>
          </cell>
          <cell r="G51" t="str">
            <v>T1937J</v>
          </cell>
          <cell r="H51" t="str">
            <v>NN</v>
          </cell>
          <cell r="I51">
            <v>92507</v>
          </cell>
          <cell r="J51" t="str">
            <v>T0改:ENV</v>
          </cell>
          <cell r="K51" t="str">
            <v>R02</v>
          </cell>
          <cell r="L51">
            <v>331</v>
          </cell>
          <cell r="M51" t="str">
            <v>1B端下1PCBU全周,一部2PCBU</v>
          </cell>
          <cell r="N51" t="str">
            <v>13.70J</v>
          </cell>
        </row>
        <row r="52">
          <cell r="A52" t="str">
            <v>B0001J94950</v>
          </cell>
          <cell r="B52">
            <v>35493</v>
          </cell>
          <cell r="C52" t="str">
            <v>7RSB001A</v>
          </cell>
          <cell r="D52">
            <v>311</v>
          </cell>
          <cell r="E52" t="str">
            <v>325/45R13</v>
          </cell>
          <cell r="F52" t="str">
            <v>RA21</v>
          </cell>
          <cell r="G52" t="str">
            <v>B0001J</v>
          </cell>
          <cell r="H52" t="str">
            <v>NN</v>
          </cell>
          <cell r="I52">
            <v>94950</v>
          </cell>
          <cell r="J52" t="str">
            <v>RD1 RACE SPEC COMP'D-937(4024)</v>
          </cell>
          <cell r="K52" t="str">
            <v>R02</v>
          </cell>
          <cell r="L52">
            <v>438</v>
          </cell>
          <cell r="M52" t="str">
            <v>1,2P間セパ-&gt;CBU,FLPｾﾊﾟ大</v>
          </cell>
          <cell r="N52" t="str">
            <v>13.70J</v>
          </cell>
        </row>
        <row r="53">
          <cell r="A53" t="str">
            <v>L0937J92494</v>
          </cell>
          <cell r="B53">
            <v>35493</v>
          </cell>
          <cell r="C53" t="str">
            <v>7RSB001A</v>
          </cell>
          <cell r="D53">
            <v>311</v>
          </cell>
          <cell r="E53" t="str">
            <v>325/45R13</v>
          </cell>
          <cell r="F53" t="str">
            <v>RA21</v>
          </cell>
          <cell r="G53" t="str">
            <v>L0937J</v>
          </cell>
          <cell r="H53" t="str">
            <v>NN</v>
          </cell>
          <cell r="I53">
            <v>92494</v>
          </cell>
          <cell r="J53" t="str">
            <v>T0改:BEG除去</v>
          </cell>
          <cell r="K53" t="str">
            <v>R02</v>
          </cell>
          <cell r="L53">
            <v>313</v>
          </cell>
          <cell r="M53" t="str">
            <v>1,2P間セパ-&gt;CBU,FLP3mm</v>
          </cell>
          <cell r="N53" t="str">
            <v>13.70J</v>
          </cell>
        </row>
        <row r="54">
          <cell r="A54" t="str">
            <v>L0937J92497</v>
          </cell>
          <cell r="B54">
            <v>35493</v>
          </cell>
          <cell r="C54" t="str">
            <v>7RSB001A</v>
          </cell>
          <cell r="D54">
            <v>311</v>
          </cell>
          <cell r="E54" t="str">
            <v>325/45R13</v>
          </cell>
          <cell r="F54" t="str">
            <v>RA21</v>
          </cell>
          <cell r="G54" t="str">
            <v>L0937J</v>
          </cell>
          <cell r="H54" t="str">
            <v>NN</v>
          </cell>
          <cell r="I54">
            <v>92497</v>
          </cell>
          <cell r="J54" t="str">
            <v>T0改:BUC除去</v>
          </cell>
          <cell r="K54" t="str">
            <v>R02</v>
          </cell>
          <cell r="L54">
            <v>359</v>
          </cell>
          <cell r="M54" t="str">
            <v>全周BLC-&gt;CBU,FLP1mm</v>
          </cell>
          <cell r="N54" t="str">
            <v>13.70J</v>
          </cell>
        </row>
        <row r="55">
          <cell r="A55" t="str">
            <v>L0937J92501</v>
          </cell>
          <cell r="B55">
            <v>35493</v>
          </cell>
          <cell r="C55" t="str">
            <v>7RSB001A</v>
          </cell>
          <cell r="D55">
            <v>311</v>
          </cell>
          <cell r="E55" t="str">
            <v>325/45R13</v>
          </cell>
          <cell r="F55" t="str">
            <v>RA21</v>
          </cell>
          <cell r="G55" t="str">
            <v>L0937J</v>
          </cell>
          <cell r="H55" t="str">
            <v>NN</v>
          </cell>
          <cell r="I55">
            <v>92501</v>
          </cell>
          <cell r="J55" t="str">
            <v>T0改:BUCｽｷｰｼﾞ化</v>
          </cell>
          <cell r="K55" t="str">
            <v>R02</v>
          </cell>
          <cell r="L55">
            <v>336</v>
          </cell>
          <cell r="M55" t="str">
            <v>BES-&gt;CBU,FLP1mm</v>
          </cell>
          <cell r="N55" t="str">
            <v>13.70J</v>
          </cell>
        </row>
        <row r="56">
          <cell r="A56" t="str">
            <v>T0937J93601</v>
          </cell>
          <cell r="B56">
            <v>35493</v>
          </cell>
          <cell r="C56" t="str">
            <v>7RSB001A</v>
          </cell>
          <cell r="D56">
            <v>311</v>
          </cell>
          <cell r="E56" t="str">
            <v>325/45R13</v>
          </cell>
          <cell r="F56" t="str">
            <v>RA21</v>
          </cell>
          <cell r="G56" t="str">
            <v>T0937J</v>
          </cell>
          <cell r="H56" t="str">
            <v>NN</v>
          </cell>
          <cell r="I56">
            <v>93601</v>
          </cell>
          <cell r="J56" t="str">
            <v>M0改:TOPウスGa(4007)</v>
          </cell>
          <cell r="K56" t="str">
            <v>R02</v>
          </cell>
          <cell r="L56">
            <v>453</v>
          </cell>
          <cell r="M56" t="str">
            <v>BES-&gt;CBU,FLP2mm</v>
          </cell>
          <cell r="N56" t="str">
            <v>13.70J</v>
          </cell>
        </row>
        <row r="57">
          <cell r="A57" t="str">
            <v>T0937J93207</v>
          </cell>
          <cell r="B57">
            <v>35493</v>
          </cell>
          <cell r="C57" t="str">
            <v>7RSB001A</v>
          </cell>
          <cell r="D57">
            <v>311</v>
          </cell>
          <cell r="E57" t="str">
            <v>325/45R13</v>
          </cell>
          <cell r="F57" t="str">
            <v>RA21</v>
          </cell>
          <cell r="G57" t="str">
            <v>T0937J</v>
          </cell>
          <cell r="H57" t="str">
            <v>NN</v>
          </cell>
          <cell r="I57">
            <v>93207</v>
          </cell>
          <cell r="J57" t="str">
            <v>M0改:TOPウスGa(4147)</v>
          </cell>
          <cell r="K57" t="str">
            <v>R02</v>
          </cell>
          <cell r="L57">
            <v>351</v>
          </cell>
          <cell r="M57" t="str">
            <v>BES-&gt;CBU,FLP2mm</v>
          </cell>
          <cell r="N57" t="str">
            <v>13.70J</v>
          </cell>
        </row>
        <row r="58">
          <cell r="A58" t="str">
            <v>B0001J2653</v>
          </cell>
          <cell r="B58">
            <v>35506</v>
          </cell>
          <cell r="C58" t="str">
            <v>7RSB001A</v>
          </cell>
          <cell r="D58">
            <v>315</v>
          </cell>
          <cell r="E58" t="str">
            <v>325/45R13</v>
          </cell>
          <cell r="F58" t="str">
            <v>RA21</v>
          </cell>
          <cell r="G58" t="str">
            <v>B0001J</v>
          </cell>
          <cell r="H58" t="str">
            <v>NN</v>
          </cell>
          <cell r="I58">
            <v>2653</v>
          </cell>
          <cell r="J58" t="str">
            <v>RD2 RACE SPEC:COMP'D-937(4804)</v>
          </cell>
          <cell r="K58" t="str">
            <v>R02</v>
          </cell>
          <cell r="L58">
            <v>324</v>
          </cell>
          <cell r="M58" t="str">
            <v>1,2P間セパ-&gt;CBU,一部BES,FLP3mm</v>
          </cell>
          <cell r="N58" t="str">
            <v>13.70J</v>
          </cell>
        </row>
        <row r="59">
          <cell r="A59" t="str">
            <v>B0003J5814</v>
          </cell>
          <cell r="B59">
            <v>35506</v>
          </cell>
          <cell r="C59" t="str">
            <v>7RSB001A</v>
          </cell>
          <cell r="D59">
            <v>316</v>
          </cell>
          <cell r="E59" t="str">
            <v>325/45R13</v>
          </cell>
          <cell r="F59" t="str">
            <v>RA21</v>
          </cell>
          <cell r="G59" t="str">
            <v>B0003J</v>
          </cell>
          <cell r="H59" t="str">
            <v>NN</v>
          </cell>
          <cell r="I59">
            <v>5814</v>
          </cell>
          <cell r="J59" t="str">
            <v>RD3 RACE SPEC:COMP'D-061(4814)</v>
          </cell>
          <cell r="K59" t="str">
            <v>R02</v>
          </cell>
          <cell r="L59">
            <v>313</v>
          </cell>
          <cell r="M59" t="str">
            <v>ｾ)BES(1/4周),反ｾ)BES-&gt;1-2P間ｾﾊﾟ-&gt;CBU,FLPｾﾊﾟ大</v>
          </cell>
          <cell r="N59" t="str">
            <v>13.70J</v>
          </cell>
        </row>
        <row r="60">
          <cell r="A60" t="str">
            <v>B0005J4570</v>
          </cell>
          <cell r="B60">
            <v>35515</v>
          </cell>
          <cell r="C60" t="str">
            <v>7RSB001A</v>
          </cell>
          <cell r="D60">
            <v>317</v>
          </cell>
          <cell r="E60" t="str">
            <v>325/45R13</v>
          </cell>
          <cell r="F60" t="str">
            <v>RA21</v>
          </cell>
          <cell r="G60" t="str">
            <v>B0005J</v>
          </cell>
          <cell r="H60" t="str">
            <v>NN</v>
          </cell>
          <cell r="I60">
            <v>4570</v>
          </cell>
          <cell r="J60" t="str">
            <v>RD2 RACE SPEC COMP'D-129(4806)</v>
          </cell>
          <cell r="K60" t="str">
            <v>R02</v>
          </cell>
          <cell r="L60">
            <v>277</v>
          </cell>
          <cell r="M60" t="str">
            <v>1,2P間セパ-&gt;CBU,FLPｾﾊﾟ10mm</v>
          </cell>
          <cell r="N60" t="str">
            <v>13.70J</v>
          </cell>
        </row>
        <row r="61">
          <cell r="A61" t="str">
            <v>B0007J8097</v>
          </cell>
          <cell r="B61">
            <v>35515</v>
          </cell>
          <cell r="C61" t="str">
            <v>7RSB001A</v>
          </cell>
          <cell r="D61">
            <v>317</v>
          </cell>
          <cell r="E61" t="str">
            <v>325/45R13</v>
          </cell>
          <cell r="F61" t="str">
            <v>RA21</v>
          </cell>
          <cell r="G61" t="str">
            <v>B0007J</v>
          </cell>
          <cell r="H61" t="str">
            <v>NN</v>
          </cell>
          <cell r="I61">
            <v>8097</v>
          </cell>
          <cell r="J61" t="str">
            <v>RD3 RACE SPEC COMP'D-127(4843)</v>
          </cell>
          <cell r="K61" t="str">
            <v>R02</v>
          </cell>
          <cell r="L61">
            <v>334</v>
          </cell>
          <cell r="M61" t="str">
            <v>全周BLC ,1,2P間セパ-&gt;CBU,FLPｾﾊﾟ10mm</v>
          </cell>
          <cell r="N61" t="str">
            <v>13.70J</v>
          </cell>
        </row>
        <row r="62">
          <cell r="A62" t="str">
            <v>S4937J6658</v>
          </cell>
          <cell r="B62">
            <v>35524</v>
          </cell>
          <cell r="C62" t="str">
            <v>7RSB001A</v>
          </cell>
          <cell r="D62">
            <v>317</v>
          </cell>
          <cell r="E62" t="str">
            <v>325/45R13</v>
          </cell>
          <cell r="F62" t="str">
            <v>RA21</v>
          </cell>
          <cell r="G62" t="str">
            <v>S4937J</v>
          </cell>
          <cell r="H62" t="str">
            <v>NN</v>
          </cell>
          <cell r="I62">
            <v>6658</v>
          </cell>
          <cell r="J62" t="str">
            <v>T2改:BELT65/55</v>
          </cell>
          <cell r="K62" t="str">
            <v>R02</v>
          </cell>
          <cell r="L62">
            <v>337</v>
          </cell>
          <cell r="M62" t="str">
            <v>BES-&gt;CBU,FLP3mm</v>
          </cell>
          <cell r="N62" t="str">
            <v>13.70J</v>
          </cell>
        </row>
        <row r="63">
          <cell r="A63" t="str">
            <v>S5937J6650</v>
          </cell>
          <cell r="B63">
            <v>35524</v>
          </cell>
          <cell r="C63" t="str">
            <v>7RSB001A</v>
          </cell>
          <cell r="D63">
            <v>317</v>
          </cell>
          <cell r="E63" t="str">
            <v>325/45R13</v>
          </cell>
          <cell r="F63" t="str">
            <v>RA21</v>
          </cell>
          <cell r="G63" t="str">
            <v>S5937J</v>
          </cell>
          <cell r="H63" t="str">
            <v>NN</v>
          </cell>
          <cell r="I63">
            <v>6650</v>
          </cell>
          <cell r="J63" t="str">
            <v>T2改:BELT65/50</v>
          </cell>
          <cell r="K63" t="str">
            <v>R02</v>
          </cell>
          <cell r="L63">
            <v>421</v>
          </cell>
          <cell r="M63" t="str">
            <v>BES-&gt;1,2P間セパ-&gt;CBU,FLPｾﾊﾟ10mm</v>
          </cell>
          <cell r="N63" t="str">
            <v>13.70J</v>
          </cell>
        </row>
        <row r="64">
          <cell r="A64" t="str">
            <v>T0937J6352</v>
          </cell>
          <cell r="B64">
            <v>35515</v>
          </cell>
          <cell r="C64" t="str">
            <v>7RSB001A</v>
          </cell>
          <cell r="D64">
            <v>317</v>
          </cell>
          <cell r="E64" t="str">
            <v>325/45R13</v>
          </cell>
          <cell r="F64" t="str">
            <v>RA21</v>
          </cell>
          <cell r="G64" t="str">
            <v>T0937J</v>
          </cell>
          <cell r="H64" t="str">
            <v>NN</v>
          </cell>
          <cell r="I64">
            <v>6352</v>
          </cell>
          <cell r="J64" t="str">
            <v>M0改:TOPウスGa(4832)</v>
          </cell>
          <cell r="K64" t="str">
            <v>R02</v>
          </cell>
          <cell r="L64">
            <v>299</v>
          </cell>
          <cell r="M64" t="str">
            <v>1,2P間セパ-&gt;CBU,FLPｾﾊﾟ10mm</v>
          </cell>
          <cell r="N64" t="str">
            <v>13.70J</v>
          </cell>
        </row>
        <row r="65">
          <cell r="A65" t="str">
            <v>T0937J6365</v>
          </cell>
          <cell r="B65">
            <v>35524</v>
          </cell>
          <cell r="C65" t="str">
            <v>7RSB001A</v>
          </cell>
          <cell r="D65">
            <v>317</v>
          </cell>
          <cell r="E65" t="str">
            <v>325/45R13</v>
          </cell>
          <cell r="F65" t="str">
            <v>RA21</v>
          </cell>
          <cell r="G65" t="str">
            <v>T0937J</v>
          </cell>
          <cell r="H65" t="str">
            <v>NN</v>
          </cell>
          <cell r="I65">
            <v>6365</v>
          </cell>
          <cell r="J65" t="str">
            <v>M0改:TOPウスGa(4832)</v>
          </cell>
          <cell r="K65" t="str">
            <v>R02</v>
          </cell>
          <cell r="L65">
            <v>282</v>
          </cell>
          <cell r="M65" t="str">
            <v>1,2P間セパ-&gt;CBU,一部BES,FLPｾﾊﾟ大</v>
          </cell>
          <cell r="N65" t="str">
            <v>13.70J</v>
          </cell>
        </row>
        <row r="66">
          <cell r="A66" t="str">
            <v>Z0937J5936</v>
          </cell>
          <cell r="B66">
            <v>35524</v>
          </cell>
          <cell r="C66" t="str">
            <v>7RSB001A</v>
          </cell>
          <cell r="D66">
            <v>317</v>
          </cell>
          <cell r="E66" t="str">
            <v>325/45R13</v>
          </cell>
          <cell r="F66" t="str">
            <v>RA21</v>
          </cell>
          <cell r="G66" t="str">
            <v>Z0937J</v>
          </cell>
          <cell r="H66" t="str">
            <v>NN</v>
          </cell>
          <cell r="I66">
            <v>5936</v>
          </cell>
          <cell r="J66" t="str">
            <v>T0改:BEG除去</v>
          </cell>
          <cell r="K66" t="str">
            <v>R02</v>
          </cell>
          <cell r="L66">
            <v>342</v>
          </cell>
          <cell r="M66" t="str">
            <v>1,2P間セパ-&gt;CBU,FLPｾﾊﾟ大</v>
          </cell>
          <cell r="N66" t="str">
            <v>13.70J</v>
          </cell>
        </row>
        <row r="67">
          <cell r="A67" t="str">
            <v>B0001J94987</v>
          </cell>
          <cell r="B67">
            <v>35513</v>
          </cell>
          <cell r="C67" t="str">
            <v>7RSB001A</v>
          </cell>
          <cell r="D67">
            <v>319</v>
          </cell>
          <cell r="E67" t="str">
            <v>325/45R13</v>
          </cell>
          <cell r="F67" t="str">
            <v>RA21</v>
          </cell>
          <cell r="G67" t="str">
            <v>B0001J</v>
          </cell>
          <cell r="H67" t="str">
            <v>NN</v>
          </cell>
          <cell r="I67">
            <v>94987</v>
          </cell>
          <cell r="J67" t="str">
            <v>RD1 RACE SPEC COMP'D-937(4027)</v>
          </cell>
          <cell r="K67" t="str">
            <v>R02</v>
          </cell>
          <cell r="L67">
            <v>432</v>
          </cell>
          <cell r="M67" t="str">
            <v>BES-&gt;CBU全周,FLP10mm</v>
          </cell>
          <cell r="N67" t="str">
            <v>13.70J</v>
          </cell>
        </row>
        <row r="68">
          <cell r="A68" t="str">
            <v>B0001J2621</v>
          </cell>
          <cell r="B68">
            <v>35513</v>
          </cell>
          <cell r="C68" t="str">
            <v>7RSB001A</v>
          </cell>
          <cell r="D68">
            <v>319</v>
          </cell>
          <cell r="E68" t="str">
            <v>325/45R13</v>
          </cell>
          <cell r="F68" t="str">
            <v>RA21</v>
          </cell>
          <cell r="G68" t="str">
            <v>B0001J</v>
          </cell>
          <cell r="H68" t="str">
            <v>NN</v>
          </cell>
          <cell r="I68">
            <v>2621</v>
          </cell>
          <cell r="J68" t="str">
            <v>RD2 RACE SPEC COMP'D-937(4804)</v>
          </cell>
          <cell r="K68" t="str">
            <v>R02</v>
          </cell>
          <cell r="L68">
            <v>307</v>
          </cell>
          <cell r="M68" t="str">
            <v>1B端下1-2P間ｾﾊﾟ-&gt;2PCBU(1ｶ所),FLP10mm</v>
          </cell>
          <cell r="N68" t="str">
            <v>13.70J</v>
          </cell>
        </row>
        <row r="69">
          <cell r="A69" t="str">
            <v>B0003J5773</v>
          </cell>
          <cell r="B69">
            <v>35513</v>
          </cell>
          <cell r="C69" t="str">
            <v>7RSB001A</v>
          </cell>
          <cell r="D69">
            <v>319</v>
          </cell>
          <cell r="E69" t="str">
            <v>325/45R13</v>
          </cell>
          <cell r="F69" t="str">
            <v>RA21</v>
          </cell>
          <cell r="G69" t="str">
            <v>B0003J</v>
          </cell>
          <cell r="H69" t="str">
            <v>NN</v>
          </cell>
          <cell r="I69">
            <v>5773</v>
          </cell>
          <cell r="J69" t="str">
            <v>RD3 RACE SPEC COMP'D-061(4814)</v>
          </cell>
          <cell r="K69" t="str">
            <v>R02</v>
          </cell>
          <cell r="L69">
            <v>292</v>
          </cell>
          <cell r="M69" t="str">
            <v>BES-&gt;CBU全周,FLP10mm</v>
          </cell>
          <cell r="N69" t="str">
            <v>13.70J</v>
          </cell>
        </row>
        <row r="70">
          <cell r="A70" t="str">
            <v>S4937J6653</v>
          </cell>
          <cell r="B70">
            <v>35528</v>
          </cell>
          <cell r="C70" t="str">
            <v>7RSB001A</v>
          </cell>
          <cell r="D70">
            <v>320</v>
          </cell>
          <cell r="E70" t="str">
            <v>325/45R13</v>
          </cell>
          <cell r="F70" t="str">
            <v>RA21</v>
          </cell>
          <cell r="G70" t="str">
            <v>S4937J</v>
          </cell>
          <cell r="H70" t="str">
            <v>NN</v>
          </cell>
          <cell r="I70">
            <v>6653</v>
          </cell>
          <cell r="J70" t="str">
            <v>T2改:BELT65/55</v>
          </cell>
          <cell r="K70" t="str">
            <v>R02</v>
          </cell>
          <cell r="L70">
            <v>403</v>
          </cell>
          <cell r="M70" t="str">
            <v>全周BLC ,1,2P間セパ-&gt;CBU,FLPｾﾊﾟ大</v>
          </cell>
          <cell r="N70" t="str">
            <v>13.70J</v>
          </cell>
        </row>
        <row r="71">
          <cell r="A71" t="str">
            <v>T0937J6355</v>
          </cell>
          <cell r="B71">
            <v>35528</v>
          </cell>
          <cell r="C71" t="str">
            <v>7RSB001A</v>
          </cell>
          <cell r="D71">
            <v>320</v>
          </cell>
          <cell r="E71" t="str">
            <v>325/45R13</v>
          </cell>
          <cell r="F71" t="str">
            <v>RA21</v>
          </cell>
          <cell r="G71" t="str">
            <v>T0937J</v>
          </cell>
          <cell r="H71" t="str">
            <v>NN</v>
          </cell>
          <cell r="I71">
            <v>6355</v>
          </cell>
          <cell r="J71" t="str">
            <v>M0改:TOPウスGa(4832)</v>
          </cell>
          <cell r="K71" t="str">
            <v>R02</v>
          </cell>
          <cell r="L71">
            <v>255</v>
          </cell>
          <cell r="M71" t="str">
            <v>1,2P間セパ-&gt;CBU,一部BES,FLPｾﾊﾟ1mm</v>
          </cell>
          <cell r="N71" t="str">
            <v>13.70J</v>
          </cell>
        </row>
        <row r="72">
          <cell r="A72" t="str">
            <v>T0937R11310</v>
          </cell>
          <cell r="B72">
            <v>35528</v>
          </cell>
          <cell r="C72" t="str">
            <v>7RSB001A</v>
          </cell>
          <cell r="D72">
            <v>320</v>
          </cell>
          <cell r="E72" t="str">
            <v>325/45R13</v>
          </cell>
          <cell r="F72" t="str">
            <v>RA21</v>
          </cell>
          <cell r="G72" t="str">
            <v>T0937R</v>
          </cell>
          <cell r="H72" t="str">
            <v>NN</v>
          </cell>
          <cell r="I72">
            <v>11310</v>
          </cell>
          <cell r="J72" t="str">
            <v>J MOLD 改 : NEW MOLD</v>
          </cell>
          <cell r="K72" t="str">
            <v>R02</v>
          </cell>
          <cell r="L72">
            <v>258</v>
          </cell>
          <cell r="M72" t="str">
            <v>全周BES-&gt;1/2周CBU,FLP OK</v>
          </cell>
          <cell r="N72" t="str">
            <v>13.70J</v>
          </cell>
        </row>
        <row r="73">
          <cell r="A73" t="str">
            <v>Z0937J5934</v>
          </cell>
          <cell r="B73">
            <v>35528</v>
          </cell>
          <cell r="C73" t="str">
            <v>7RSB001A</v>
          </cell>
          <cell r="D73">
            <v>320</v>
          </cell>
          <cell r="E73" t="str">
            <v>325/45R13</v>
          </cell>
          <cell r="F73" t="str">
            <v>RA21</v>
          </cell>
          <cell r="G73" t="str">
            <v>Z0937J</v>
          </cell>
          <cell r="H73" t="str">
            <v>NN</v>
          </cell>
          <cell r="I73">
            <v>5934</v>
          </cell>
          <cell r="J73" t="str">
            <v>T0改:BEG除去</v>
          </cell>
          <cell r="K73" t="str">
            <v>R02</v>
          </cell>
          <cell r="L73">
            <v>361</v>
          </cell>
          <cell r="M73" t="str">
            <v>BES-&gt;CBU全周,FLP10mm以上</v>
          </cell>
          <cell r="N73" t="str">
            <v>13.70J</v>
          </cell>
        </row>
        <row r="74">
          <cell r="A74" t="str">
            <v>B0003J99336</v>
          </cell>
          <cell r="B74">
            <v>35543</v>
          </cell>
          <cell r="C74" t="str">
            <v>7RSB001A</v>
          </cell>
          <cell r="D74">
            <v>323</v>
          </cell>
          <cell r="E74" t="str">
            <v>325/45R13</v>
          </cell>
          <cell r="F74" t="str">
            <v>RA21</v>
          </cell>
          <cell r="G74" t="str">
            <v>B0003J</v>
          </cell>
          <cell r="H74" t="str">
            <v>NN</v>
          </cell>
          <cell r="I74">
            <v>99336</v>
          </cell>
          <cell r="J74" t="str">
            <v>AUST-SPEC(4815)</v>
          </cell>
          <cell r="K74" t="str">
            <v>R02</v>
          </cell>
          <cell r="L74">
            <v>361</v>
          </cell>
          <cell r="M74" t="str">
            <v>全周BES-&gt;1/2周CBU,FLP 2mm</v>
          </cell>
          <cell r="N74" t="str">
            <v>13.70J</v>
          </cell>
        </row>
        <row r="75">
          <cell r="A75" t="str">
            <v>B0009J13801</v>
          </cell>
          <cell r="B75">
            <v>35543</v>
          </cell>
          <cell r="C75" t="str">
            <v>7RSB001A</v>
          </cell>
          <cell r="D75">
            <v>323</v>
          </cell>
          <cell r="E75" t="str">
            <v>325/45R13</v>
          </cell>
          <cell r="F75" t="str">
            <v>RA21</v>
          </cell>
          <cell r="G75" t="str">
            <v>B0009J</v>
          </cell>
          <cell r="H75" t="str">
            <v>NN</v>
          </cell>
          <cell r="I75">
            <v>13801</v>
          </cell>
          <cell r="J75" t="str">
            <v>RD4 RACE SPEC:COMP'D-125(4818)</v>
          </cell>
          <cell r="K75" t="str">
            <v>R02</v>
          </cell>
          <cell r="L75">
            <v>371</v>
          </cell>
          <cell r="M75" t="str">
            <v>BES-&gt;全周CBU,FLP 10mm</v>
          </cell>
          <cell r="N75" t="str">
            <v>13.70J</v>
          </cell>
        </row>
        <row r="76">
          <cell r="A76" t="str">
            <v>T0937R11308</v>
          </cell>
          <cell r="B76">
            <v>35543</v>
          </cell>
          <cell r="C76" t="str">
            <v>7RSB001A</v>
          </cell>
          <cell r="D76">
            <v>323</v>
          </cell>
          <cell r="E76" t="str">
            <v>325/45R13</v>
          </cell>
          <cell r="F76" t="str">
            <v>RA21</v>
          </cell>
          <cell r="G76" t="str">
            <v>T0937R</v>
          </cell>
          <cell r="H76" t="str">
            <v>NN</v>
          </cell>
          <cell r="I76">
            <v>11308</v>
          </cell>
          <cell r="J76" t="str">
            <v>NEW MOLD</v>
          </cell>
          <cell r="K76" t="str">
            <v>R02</v>
          </cell>
          <cell r="L76">
            <v>255</v>
          </cell>
          <cell r="M76" t="str">
            <v>BES-&gt;CBU,FLPｾﾊﾟ大</v>
          </cell>
          <cell r="N76" t="str">
            <v>13.70J</v>
          </cell>
        </row>
        <row r="77">
          <cell r="A77" t="str">
            <v>U0937U15888</v>
          </cell>
          <cell r="B77">
            <v>35543</v>
          </cell>
          <cell r="C77" t="str">
            <v>7RSB001A</v>
          </cell>
          <cell r="D77">
            <v>323</v>
          </cell>
          <cell r="E77" t="str">
            <v>325/45R13</v>
          </cell>
          <cell r="F77" t="str">
            <v>RA21</v>
          </cell>
          <cell r="G77" t="str">
            <v>U0937U</v>
          </cell>
          <cell r="H77" t="str">
            <v>NN</v>
          </cell>
          <cell r="I77">
            <v>15888</v>
          </cell>
          <cell r="J77" t="str">
            <v>溝付きDRY(4833)</v>
          </cell>
          <cell r="K77" t="str">
            <v>R02</v>
          </cell>
          <cell r="L77">
            <v>421</v>
          </cell>
          <cell r="M77" t="str">
            <v>1,2P間セパ-&gt;CBU,FLPｾﾊﾟ大</v>
          </cell>
          <cell r="N77" t="str">
            <v>13.70J</v>
          </cell>
        </row>
        <row r="78">
          <cell r="A78" t="str">
            <v>B0007J16769</v>
          </cell>
          <cell r="B78">
            <v>35557</v>
          </cell>
          <cell r="C78" t="str">
            <v>7RSB001A</v>
          </cell>
          <cell r="D78">
            <v>324</v>
          </cell>
          <cell r="E78" t="str">
            <v>325/45R13</v>
          </cell>
          <cell r="F78" t="str">
            <v>RA21</v>
          </cell>
          <cell r="G78" t="str">
            <v>B0007J</v>
          </cell>
          <cell r="H78" t="str">
            <v>NN</v>
          </cell>
          <cell r="I78">
            <v>16769</v>
          </cell>
          <cell r="J78" t="str">
            <v>RD5 RACE SPEC:COMP'D-127</v>
          </cell>
          <cell r="K78" t="str">
            <v>R02</v>
          </cell>
          <cell r="L78">
            <v>349</v>
          </cell>
          <cell r="M78" t="str">
            <v>全周BLC ,CBU,一部2Bにそってベルト切れ</v>
          </cell>
          <cell r="N78" t="str">
            <v>13.70J</v>
          </cell>
        </row>
        <row r="79">
          <cell r="A79" t="str">
            <v>T0937J99276</v>
          </cell>
          <cell r="B79">
            <v>35557</v>
          </cell>
          <cell r="C79" t="str">
            <v>7RSB001A</v>
          </cell>
          <cell r="D79">
            <v>324</v>
          </cell>
          <cell r="E79" t="str">
            <v>325/45R13</v>
          </cell>
          <cell r="F79" t="str">
            <v>RA21</v>
          </cell>
          <cell r="G79" t="str">
            <v>T0937J</v>
          </cell>
          <cell r="H79" t="str">
            <v>NN</v>
          </cell>
          <cell r="I79">
            <v>99276</v>
          </cell>
          <cell r="J79" t="str">
            <v>M0改:TOPウスGa(4815)</v>
          </cell>
          <cell r="K79" t="str">
            <v>R02</v>
          </cell>
          <cell r="L79">
            <v>361</v>
          </cell>
          <cell r="M79" t="str">
            <v>BES-&gt;CBU,FLPｾﾊﾟ10mm</v>
          </cell>
          <cell r="N79" t="str">
            <v>13.70J</v>
          </cell>
        </row>
        <row r="80">
          <cell r="A80" t="str">
            <v>B0015J20142</v>
          </cell>
          <cell r="B80">
            <v>35559</v>
          </cell>
          <cell r="C80" t="str">
            <v>7RSB001A</v>
          </cell>
          <cell r="D80">
            <v>326</v>
          </cell>
          <cell r="E80" t="str">
            <v>325/45R13</v>
          </cell>
          <cell r="F80" t="str">
            <v>RA21</v>
          </cell>
          <cell r="G80" t="str">
            <v>B0015J</v>
          </cell>
          <cell r="H80" t="str">
            <v>NN</v>
          </cell>
          <cell r="I80">
            <v>20142</v>
          </cell>
          <cell r="J80" t="str">
            <v>RD6 RACE SPEC COMP'D-155(4802)</v>
          </cell>
          <cell r="K80" t="str">
            <v>R02</v>
          </cell>
          <cell r="L80">
            <v>334</v>
          </cell>
          <cell r="M80" t="str">
            <v>BES-&gt;1,2P間セパ-&gt;CBU,FLPｾﾊﾟ3mm</v>
          </cell>
          <cell r="N80" t="str">
            <v>13.70J</v>
          </cell>
        </row>
        <row r="81">
          <cell r="A81" t="str">
            <v>T0937J6393</v>
          </cell>
          <cell r="B81">
            <v>35559</v>
          </cell>
          <cell r="C81" t="str">
            <v>7RSB001A</v>
          </cell>
          <cell r="D81">
            <v>326</v>
          </cell>
          <cell r="E81" t="str">
            <v>325/45R13</v>
          </cell>
          <cell r="F81" t="str">
            <v>RA21</v>
          </cell>
          <cell r="G81" t="str">
            <v>T0937J</v>
          </cell>
          <cell r="H81" t="str">
            <v>NN</v>
          </cell>
          <cell r="I81">
            <v>6393</v>
          </cell>
          <cell r="J81" t="str">
            <v>M0改:TOPウスGa(4832)</v>
          </cell>
          <cell r="K81" t="str">
            <v>R02</v>
          </cell>
          <cell r="L81">
            <v>256</v>
          </cell>
          <cell r="M81" t="str">
            <v>BES-&gt;CBU,FLPｾﾊﾟ5mm</v>
          </cell>
          <cell r="N81" t="str">
            <v>13.70J</v>
          </cell>
        </row>
        <row r="82">
          <cell r="A82" t="str">
            <v>T0937R18704</v>
          </cell>
          <cell r="B82">
            <v>35559</v>
          </cell>
          <cell r="C82" t="str">
            <v>7RSB001A</v>
          </cell>
          <cell r="D82">
            <v>326</v>
          </cell>
          <cell r="E82" t="str">
            <v>325/45R13</v>
          </cell>
          <cell r="F82" t="str">
            <v>RA21</v>
          </cell>
          <cell r="G82" t="str">
            <v>T0937R</v>
          </cell>
          <cell r="H82" t="str">
            <v>NN</v>
          </cell>
          <cell r="I82">
            <v>18704</v>
          </cell>
          <cell r="J82" t="str">
            <v>NEW MOLD</v>
          </cell>
          <cell r="K82" t="str">
            <v>R02</v>
          </cell>
          <cell r="L82">
            <v>393</v>
          </cell>
          <cell r="M82" t="str">
            <v>全周BLC ,CBU,FLPｾﾊﾟ2mm</v>
          </cell>
          <cell r="N82" t="str">
            <v>13.70J</v>
          </cell>
        </row>
        <row r="83">
          <cell r="A83" t="str">
            <v>L0937J18728</v>
          </cell>
          <cell r="B83">
            <v>35577</v>
          </cell>
          <cell r="C83" t="str">
            <v>7RSB001A</v>
          </cell>
          <cell r="D83">
            <v>327</v>
          </cell>
          <cell r="E83" t="str">
            <v>325/45R13</v>
          </cell>
          <cell r="F83" t="str">
            <v>RA21</v>
          </cell>
          <cell r="G83" t="str">
            <v>L0937J</v>
          </cell>
          <cell r="H83" t="str">
            <v>R1</v>
          </cell>
          <cell r="I83">
            <v>18728</v>
          </cell>
          <cell r="J83" t="str">
            <v>BEG有,I/L幅80</v>
          </cell>
          <cell r="K83" t="str">
            <v>R02</v>
          </cell>
          <cell r="L83">
            <v>348</v>
          </cell>
          <cell r="M83" t="str">
            <v>BES-&gt;1,2P間セパ-&gt;CBU,FLPｾﾊﾟ10mm</v>
          </cell>
          <cell r="N83" t="str">
            <v>13.70J</v>
          </cell>
        </row>
        <row r="84">
          <cell r="A84" t="str">
            <v>L0937J18731</v>
          </cell>
          <cell r="B84">
            <v>35577</v>
          </cell>
          <cell r="C84" t="str">
            <v>7RSB001A</v>
          </cell>
          <cell r="D84">
            <v>327</v>
          </cell>
          <cell r="E84" t="str">
            <v>325/45R13</v>
          </cell>
          <cell r="F84" t="str">
            <v>RA21</v>
          </cell>
          <cell r="G84" t="str">
            <v>L0937J</v>
          </cell>
          <cell r="H84" t="str">
            <v>Y1</v>
          </cell>
          <cell r="I84">
            <v>18731</v>
          </cell>
          <cell r="J84" t="str">
            <v>BEG有,I/L幅60</v>
          </cell>
          <cell r="K84" t="str">
            <v>R02</v>
          </cell>
          <cell r="L84">
            <v>445</v>
          </cell>
          <cell r="M84" t="str">
            <v>BES-&gt;1,2P間セパ-&gt;CBU,FLPｾﾊﾟ10mm</v>
          </cell>
          <cell r="N84" t="str">
            <v>13.70J</v>
          </cell>
        </row>
        <row r="85">
          <cell r="A85" t="str">
            <v>T1937J18661</v>
          </cell>
          <cell r="B85">
            <v>35577</v>
          </cell>
          <cell r="C85" t="str">
            <v>7RSB001A</v>
          </cell>
          <cell r="D85">
            <v>327</v>
          </cell>
          <cell r="E85" t="str">
            <v>325/45R13</v>
          </cell>
          <cell r="F85" t="str">
            <v>RA21</v>
          </cell>
          <cell r="G85" t="str">
            <v>T1937J</v>
          </cell>
          <cell r="H85" t="str">
            <v>NN</v>
          </cell>
          <cell r="I85">
            <v>18661</v>
          </cell>
          <cell r="J85" t="str">
            <v>T0改:ENV.</v>
          </cell>
          <cell r="K85" t="str">
            <v>R02</v>
          </cell>
          <cell r="L85">
            <v>266</v>
          </cell>
          <cell r="M85" t="str">
            <v>BES-&gt;1,2P間セパ-&gt;CBU,FLPｾﾊﾟ5mm</v>
          </cell>
          <cell r="N85" t="str">
            <v>13.70J</v>
          </cell>
        </row>
        <row r="86">
          <cell r="A86" t="str">
            <v>Z0937J18675</v>
          </cell>
          <cell r="B86">
            <v>35577</v>
          </cell>
          <cell r="C86" t="str">
            <v>7RSB001A</v>
          </cell>
          <cell r="D86">
            <v>327</v>
          </cell>
          <cell r="E86" t="str">
            <v>325/45R13</v>
          </cell>
          <cell r="F86" t="str">
            <v>RA21</v>
          </cell>
          <cell r="G86" t="str">
            <v>Z0937J</v>
          </cell>
          <cell r="H86" t="str">
            <v>NN</v>
          </cell>
          <cell r="I86">
            <v>18675</v>
          </cell>
          <cell r="J86" t="str">
            <v>BEG無,I/L幅80</v>
          </cell>
          <cell r="K86" t="str">
            <v>R02</v>
          </cell>
          <cell r="L86">
            <v>256</v>
          </cell>
          <cell r="M86" t="str">
            <v>BES-&gt;1,2P間セパ-&gt;CBU,FLPｾﾊﾟ5mm</v>
          </cell>
          <cell r="N86" t="str">
            <v>13.70J</v>
          </cell>
        </row>
        <row r="87">
          <cell r="A87" t="str">
            <v>Z0937J18678</v>
          </cell>
          <cell r="B87">
            <v>35577</v>
          </cell>
          <cell r="C87" t="str">
            <v>7RSB001A</v>
          </cell>
          <cell r="D87">
            <v>327</v>
          </cell>
          <cell r="E87" t="str">
            <v>325/45R13</v>
          </cell>
          <cell r="F87" t="str">
            <v>RA21</v>
          </cell>
          <cell r="G87" t="str">
            <v>Z0937J</v>
          </cell>
          <cell r="H87" t="str">
            <v>B1</v>
          </cell>
          <cell r="I87">
            <v>18678</v>
          </cell>
          <cell r="J87" t="str">
            <v>BEG無,I/L幅80,1P上SQ</v>
          </cell>
          <cell r="K87" t="str">
            <v>R02</v>
          </cell>
          <cell r="L87">
            <v>257</v>
          </cell>
          <cell r="M87" t="str">
            <v>BES-&gt;CBU,FLPｾﾊﾟ5mm</v>
          </cell>
          <cell r="N87" t="str">
            <v>13.70J</v>
          </cell>
        </row>
        <row r="88">
          <cell r="A88" t="str">
            <v>Z0937J18680</v>
          </cell>
          <cell r="B88">
            <v>35577</v>
          </cell>
          <cell r="C88" t="str">
            <v>7RSB001A</v>
          </cell>
          <cell r="D88">
            <v>327</v>
          </cell>
          <cell r="E88" t="str">
            <v>325/45R13</v>
          </cell>
          <cell r="F88" t="str">
            <v>RA21</v>
          </cell>
          <cell r="G88" t="str">
            <v>Z0937J</v>
          </cell>
          <cell r="H88" t="str">
            <v>Y1</v>
          </cell>
          <cell r="I88">
            <v>18680</v>
          </cell>
          <cell r="J88" t="str">
            <v>BEG無,I/L幅80,1P幅+5</v>
          </cell>
          <cell r="K88" t="str">
            <v>R02</v>
          </cell>
          <cell r="L88">
            <v>266</v>
          </cell>
          <cell r="M88" t="str">
            <v>BES-&gt;1,2P間セパ-&gt;CBU,FLPｾﾊﾟ2mm</v>
          </cell>
          <cell r="N88" t="str">
            <v>13.70J</v>
          </cell>
        </row>
        <row r="89">
          <cell r="A89" t="str">
            <v>T0937JXXXXX</v>
          </cell>
          <cell r="B89">
            <v>35580</v>
          </cell>
          <cell r="C89" t="str">
            <v>7RSB001A</v>
          </cell>
          <cell r="D89">
            <v>328</v>
          </cell>
          <cell r="E89" t="str">
            <v>325/45R13</v>
          </cell>
          <cell r="F89" t="str">
            <v>RA21</v>
          </cell>
          <cell r="G89" t="str">
            <v>T0937J</v>
          </cell>
          <cell r="H89" t="str">
            <v>NN</v>
          </cell>
          <cell r="I89" t="str">
            <v>XXXXX</v>
          </cell>
          <cell r="J89" t="str">
            <v>LOAD=905</v>
          </cell>
          <cell r="K89" t="str">
            <v>RQ1</v>
          </cell>
          <cell r="L89">
            <v>359</v>
          </cell>
          <cell r="M89" t="str">
            <v>BES,1-2P間ｾﾊﾟ-&gt;CBU</v>
          </cell>
          <cell r="N89" t="str">
            <v>13.70J</v>
          </cell>
        </row>
        <row r="90">
          <cell r="A90" t="str">
            <v>T0937J6368</v>
          </cell>
          <cell r="B90">
            <v>35580</v>
          </cell>
          <cell r="C90" t="str">
            <v>7RSB001A</v>
          </cell>
          <cell r="D90">
            <v>328</v>
          </cell>
          <cell r="E90" t="str">
            <v>325/45R13</v>
          </cell>
          <cell r="F90" t="str">
            <v>RA21</v>
          </cell>
          <cell r="G90" t="str">
            <v>T0937J</v>
          </cell>
          <cell r="H90" t="str">
            <v>NN</v>
          </cell>
          <cell r="I90">
            <v>6368</v>
          </cell>
          <cell r="J90" t="str">
            <v>LOAD=760</v>
          </cell>
          <cell r="K90" t="str">
            <v>RQ2</v>
          </cell>
          <cell r="L90">
            <v>425</v>
          </cell>
          <cell r="M90" t="str">
            <v>3/4周BES&amp;CBU1/2周BLC</v>
          </cell>
          <cell r="N90" t="str">
            <v>13.70J</v>
          </cell>
        </row>
        <row r="91">
          <cell r="A91" t="str">
            <v>T0937J6360</v>
          </cell>
          <cell r="B91">
            <v>35580</v>
          </cell>
          <cell r="C91" t="str">
            <v>7RSB001A</v>
          </cell>
          <cell r="D91">
            <v>328</v>
          </cell>
          <cell r="E91" t="str">
            <v>325/45R13</v>
          </cell>
          <cell r="F91" t="str">
            <v>RA21</v>
          </cell>
          <cell r="G91" t="str">
            <v>T0937J</v>
          </cell>
          <cell r="H91" t="str">
            <v>NN</v>
          </cell>
          <cell r="I91">
            <v>6360</v>
          </cell>
          <cell r="J91" t="str">
            <v>LOAD=820</v>
          </cell>
          <cell r="K91" t="str">
            <v>RQ3</v>
          </cell>
          <cell r="L91">
            <v>264</v>
          </cell>
          <cell r="M91" t="str">
            <v>CBU1ｶ所（低内圧CBUの様な感じ）</v>
          </cell>
          <cell r="N91" t="str">
            <v>13.70J</v>
          </cell>
        </row>
        <row r="92">
          <cell r="A92" t="str">
            <v>T0937J6362</v>
          </cell>
          <cell r="B92">
            <v>35580</v>
          </cell>
          <cell r="C92" t="str">
            <v>7RSB001A</v>
          </cell>
          <cell r="D92">
            <v>328</v>
          </cell>
          <cell r="E92" t="str">
            <v>325/45R13</v>
          </cell>
          <cell r="F92" t="str">
            <v>RA21</v>
          </cell>
          <cell r="G92" t="str">
            <v>T0937J</v>
          </cell>
          <cell r="H92" t="str">
            <v>NN</v>
          </cell>
          <cell r="I92">
            <v>6362</v>
          </cell>
          <cell r="J92" t="str">
            <v>LOAD=820</v>
          </cell>
          <cell r="K92" t="str">
            <v>RQ3</v>
          </cell>
          <cell r="L92">
            <v>469</v>
          </cell>
          <cell r="M92" t="str">
            <v>全周BES&amp;1,2P間セパ-&gt;CBU</v>
          </cell>
          <cell r="N92" t="str">
            <v>13.70J</v>
          </cell>
        </row>
        <row r="93">
          <cell r="A93" t="str">
            <v>B0007J25321</v>
          </cell>
          <cell r="B93">
            <v>35579</v>
          </cell>
          <cell r="C93" t="str">
            <v>7RSB001A</v>
          </cell>
          <cell r="D93">
            <v>330</v>
          </cell>
          <cell r="E93" t="str">
            <v>325/45R13</v>
          </cell>
          <cell r="F93" t="str">
            <v>RA21</v>
          </cell>
          <cell r="G93" t="str">
            <v>B0007J</v>
          </cell>
          <cell r="H93" t="str">
            <v>NN</v>
          </cell>
          <cell r="I93">
            <v>25321</v>
          </cell>
          <cell r="J93" t="str">
            <v>RD7 T0127J</v>
          </cell>
          <cell r="K93" t="str">
            <v>R02</v>
          </cell>
          <cell r="L93">
            <v>292</v>
          </cell>
          <cell r="M93" t="str">
            <v>BES-&gt;ほぼ全周CBU,FLP 2mm</v>
          </cell>
          <cell r="N93" t="str">
            <v>13.70J</v>
          </cell>
        </row>
        <row r="94">
          <cell r="A94" t="str">
            <v>B0007J25349</v>
          </cell>
          <cell r="B94">
            <v>35579</v>
          </cell>
          <cell r="C94" t="str">
            <v>7RSB001A</v>
          </cell>
          <cell r="D94">
            <v>330</v>
          </cell>
          <cell r="E94" t="str">
            <v>325/45R13</v>
          </cell>
          <cell r="F94" t="str">
            <v>RA21</v>
          </cell>
          <cell r="G94" t="str">
            <v>B0007J</v>
          </cell>
          <cell r="H94" t="str">
            <v>NN</v>
          </cell>
          <cell r="I94">
            <v>25349</v>
          </cell>
          <cell r="J94" t="str">
            <v>RD7 T0127J</v>
          </cell>
          <cell r="K94" t="str">
            <v>R02</v>
          </cell>
          <cell r="L94">
            <v>386</v>
          </cell>
          <cell r="M94" t="str">
            <v>BES-&gt;1,2P間セパ全周,FLPｾﾊﾟ20mm</v>
          </cell>
          <cell r="N94" t="str">
            <v>13.70J</v>
          </cell>
        </row>
        <row r="95">
          <cell r="A95" t="str">
            <v>T0937J6538</v>
          </cell>
          <cell r="B95">
            <v>35579</v>
          </cell>
          <cell r="C95" t="str">
            <v>7RSB001A</v>
          </cell>
          <cell r="D95">
            <v>330</v>
          </cell>
          <cell r="E95" t="str">
            <v>325/45R13</v>
          </cell>
          <cell r="F95" t="str">
            <v>RA21</v>
          </cell>
          <cell r="G95" t="str">
            <v>T0937J</v>
          </cell>
          <cell r="H95" t="str">
            <v>NN</v>
          </cell>
          <cell r="I95">
            <v>6538</v>
          </cell>
          <cell r="J95" t="str">
            <v>M0改:TOPウスGa(4832)</v>
          </cell>
          <cell r="K95" t="str">
            <v>R02</v>
          </cell>
          <cell r="L95">
            <v>259</v>
          </cell>
          <cell r="M95" t="str">
            <v>BES-&gt;ほぼ全周CBU,FLP 5mm</v>
          </cell>
          <cell r="N95" t="str">
            <v>13.70J</v>
          </cell>
        </row>
        <row r="96">
          <cell r="A96" t="str">
            <v>A0937J86141</v>
          </cell>
          <cell r="B96">
            <v>35444</v>
          </cell>
          <cell r="C96" t="str">
            <v>6RSB001A</v>
          </cell>
          <cell r="D96">
            <v>332</v>
          </cell>
          <cell r="E96" t="str">
            <v>325/45R13</v>
          </cell>
          <cell r="F96" t="str">
            <v>RA21</v>
          </cell>
          <cell r="G96" t="str">
            <v>A0937J</v>
          </cell>
          <cell r="H96" t="str">
            <v>NN</v>
          </cell>
          <cell r="I96">
            <v>86141</v>
          </cell>
          <cell r="J96" t="str">
            <v>T0改:PLY22/22(=B0)</v>
          </cell>
          <cell r="K96" t="str">
            <v>R02</v>
          </cell>
          <cell r="L96">
            <v>429</v>
          </cell>
          <cell r="M96" t="str">
            <v>BES-&gt;CBU(半周),FLP(5mm)</v>
          </cell>
          <cell r="N96" t="str">
            <v>13.70J</v>
          </cell>
        </row>
        <row r="97">
          <cell r="A97" t="str">
            <v>A1937J86128</v>
          </cell>
          <cell r="B97">
            <v>35444</v>
          </cell>
          <cell r="C97" t="str">
            <v>6RSB001A</v>
          </cell>
          <cell r="D97">
            <v>332</v>
          </cell>
          <cell r="E97" t="str">
            <v>325/45R13</v>
          </cell>
          <cell r="F97" t="str">
            <v>RA21</v>
          </cell>
          <cell r="G97" t="str">
            <v>A1937J</v>
          </cell>
          <cell r="H97" t="str">
            <v>NN</v>
          </cell>
          <cell r="I97">
            <v>86128</v>
          </cell>
          <cell r="J97" t="str">
            <v>A0改:FLI+2INS</v>
          </cell>
          <cell r="K97" t="str">
            <v>R02</v>
          </cell>
          <cell r="L97">
            <v>430</v>
          </cell>
          <cell r="M97" t="str">
            <v>BES-&gt;CBU(半周),FLP端セパ</v>
          </cell>
          <cell r="N97" t="str">
            <v>13.70J</v>
          </cell>
        </row>
        <row r="98">
          <cell r="A98" t="str">
            <v>T0937J80006</v>
          </cell>
          <cell r="B98">
            <v>35444</v>
          </cell>
          <cell r="C98" t="str">
            <v>6RSB001A</v>
          </cell>
          <cell r="D98">
            <v>332</v>
          </cell>
          <cell r="E98" t="str">
            <v>325/45R13</v>
          </cell>
          <cell r="F98" t="str">
            <v>RA21</v>
          </cell>
          <cell r="G98" t="str">
            <v>T0937J</v>
          </cell>
          <cell r="H98" t="str">
            <v>NN</v>
          </cell>
          <cell r="I98">
            <v>80006</v>
          </cell>
          <cell r="J98" t="str">
            <v>M0改:TOPウスGa</v>
          </cell>
          <cell r="K98" t="str">
            <v>R02</v>
          </cell>
          <cell r="L98">
            <v>391</v>
          </cell>
          <cell r="M98" t="str">
            <v>BES-&gt;CBU(半周),FLP端セパ1cm</v>
          </cell>
          <cell r="N98" t="str">
            <v>13.70J</v>
          </cell>
        </row>
        <row r="99">
          <cell r="A99" t="str">
            <v>T0937JYYYYY</v>
          </cell>
          <cell r="B99">
            <v>35598</v>
          </cell>
          <cell r="C99" t="str">
            <v>7RSB001A</v>
          </cell>
          <cell r="D99">
            <v>332</v>
          </cell>
          <cell r="E99" t="str">
            <v>325/45R13</v>
          </cell>
          <cell r="F99" t="str">
            <v>RA21</v>
          </cell>
          <cell r="G99" t="str">
            <v>T0937J</v>
          </cell>
          <cell r="H99" t="str">
            <v>NN</v>
          </cell>
          <cell r="I99" t="str">
            <v>YYYYY</v>
          </cell>
          <cell r="J99" t="str">
            <v>703-4832</v>
          </cell>
          <cell r="K99" t="str">
            <v>RQ4</v>
          </cell>
          <cell r="L99">
            <v>451</v>
          </cell>
          <cell r="N99" t="str">
            <v>13.70J</v>
          </cell>
        </row>
        <row r="100">
          <cell r="A100" t="str">
            <v>T0937JMMMM</v>
          </cell>
          <cell r="B100">
            <v>35587</v>
          </cell>
          <cell r="C100" t="str">
            <v>7RSB001A</v>
          </cell>
          <cell r="D100">
            <v>332</v>
          </cell>
          <cell r="E100" t="str">
            <v>325/45R13</v>
          </cell>
          <cell r="F100" t="str">
            <v>RA21</v>
          </cell>
          <cell r="G100" t="str">
            <v>T0937J</v>
          </cell>
          <cell r="H100" t="str">
            <v>NN</v>
          </cell>
          <cell r="I100" t="str">
            <v>MMMM</v>
          </cell>
          <cell r="J100" t="str">
            <v>703-4832</v>
          </cell>
          <cell r="K100" t="str">
            <v>RQ4</v>
          </cell>
          <cell r="L100">
            <v>451</v>
          </cell>
          <cell r="N100" t="str">
            <v>13.70J</v>
          </cell>
        </row>
        <row r="101">
          <cell r="A101" t="str">
            <v>T0937J6370</v>
          </cell>
          <cell r="B101">
            <v>35598</v>
          </cell>
          <cell r="C101" t="str">
            <v>7RSB001A</v>
          </cell>
          <cell r="D101">
            <v>333</v>
          </cell>
          <cell r="E101" t="str">
            <v>325/45R13</v>
          </cell>
          <cell r="F101" t="str">
            <v>RA21</v>
          </cell>
          <cell r="G101" t="str">
            <v>T0937J</v>
          </cell>
          <cell r="H101" t="str">
            <v>NN</v>
          </cell>
          <cell r="I101">
            <v>6370</v>
          </cell>
          <cell r="J101" t="str">
            <v>初期内圧1.0＋新条件(W=820)</v>
          </cell>
          <cell r="K101" t="str">
            <v>R11</v>
          </cell>
          <cell r="L101">
            <v>415</v>
          </cell>
          <cell r="M101" t="str">
            <v>BES,1-2P間ｾﾊﾟ-&gt;CBU,FLPｾﾊﾟ10mm</v>
          </cell>
          <cell r="N101" t="str">
            <v>13.70J</v>
          </cell>
        </row>
        <row r="102">
          <cell r="A102" t="str">
            <v>T0937J6370</v>
          </cell>
          <cell r="B102">
            <v>35587</v>
          </cell>
          <cell r="C102" t="str">
            <v>7RSB001A</v>
          </cell>
          <cell r="D102">
            <v>333</v>
          </cell>
          <cell r="E102" t="str">
            <v>325/45R13</v>
          </cell>
          <cell r="F102" t="str">
            <v>RA21</v>
          </cell>
          <cell r="G102" t="str">
            <v>T0937J</v>
          </cell>
          <cell r="H102" t="str">
            <v>NN</v>
          </cell>
          <cell r="I102">
            <v>6370</v>
          </cell>
          <cell r="J102" t="str">
            <v>703-4832:初期内圧1.0&amp;新条件820</v>
          </cell>
          <cell r="K102" t="str">
            <v>R11</v>
          </cell>
          <cell r="L102">
            <v>415</v>
          </cell>
          <cell r="M102" t="str">
            <v>BES,1,2P間セパ-&gt;CBU,FLPｾﾊﾟ1mm</v>
          </cell>
          <cell r="N102" t="str">
            <v>13.70J</v>
          </cell>
        </row>
        <row r="103">
          <cell r="A103" t="str">
            <v>T0937J6379</v>
          </cell>
          <cell r="B103">
            <v>35598</v>
          </cell>
          <cell r="C103" t="str">
            <v>7RSB001A</v>
          </cell>
          <cell r="D103">
            <v>334</v>
          </cell>
          <cell r="E103" t="str">
            <v>325/45R13</v>
          </cell>
          <cell r="F103" t="str">
            <v>RA21</v>
          </cell>
          <cell r="G103" t="str">
            <v>T0937J</v>
          </cell>
          <cell r="H103" t="str">
            <v>NN</v>
          </cell>
          <cell r="I103">
            <v>6379</v>
          </cell>
          <cell r="J103" t="str">
            <v>703-4832:LOAD=820</v>
          </cell>
          <cell r="K103" t="str">
            <v>RQ3</v>
          </cell>
          <cell r="L103">
            <v>262</v>
          </cell>
          <cell r="M103" t="str">
            <v>1-2P間ｾﾊﾟ-&gt;CBU</v>
          </cell>
          <cell r="N103" t="str">
            <v>13.70J</v>
          </cell>
        </row>
        <row r="104">
          <cell r="A104" t="str">
            <v>T0937J6375</v>
          </cell>
          <cell r="B104">
            <v>35598</v>
          </cell>
          <cell r="C104" t="str">
            <v>7RSB001A</v>
          </cell>
          <cell r="D104">
            <v>334</v>
          </cell>
          <cell r="E104" t="str">
            <v>325/45R13</v>
          </cell>
          <cell r="F104" t="str">
            <v>RA21</v>
          </cell>
          <cell r="G104" t="str">
            <v>T0937J</v>
          </cell>
          <cell r="H104" t="str">
            <v>NN</v>
          </cell>
          <cell r="I104">
            <v>6375</v>
          </cell>
          <cell r="J104" t="str">
            <v>703-4832:LOAD=820</v>
          </cell>
          <cell r="K104" t="str">
            <v>RQ3</v>
          </cell>
          <cell r="L104">
            <v>257</v>
          </cell>
          <cell r="M104" t="str">
            <v>BES,1-2P間ｾﾊﾟ-&gt;CBU</v>
          </cell>
          <cell r="N104" t="str">
            <v>13.70J</v>
          </cell>
        </row>
        <row r="105">
          <cell r="A105" t="str">
            <v>T0937J6391</v>
          </cell>
          <cell r="B105">
            <v>35598</v>
          </cell>
          <cell r="C105" t="str">
            <v>7RSB001A</v>
          </cell>
          <cell r="D105">
            <v>334</v>
          </cell>
          <cell r="E105" t="str">
            <v>325/45R13</v>
          </cell>
          <cell r="F105" t="str">
            <v>RA21</v>
          </cell>
          <cell r="G105" t="str">
            <v>T0937J</v>
          </cell>
          <cell r="H105" t="str">
            <v>NN</v>
          </cell>
          <cell r="I105">
            <v>6391</v>
          </cell>
          <cell r="J105" t="str">
            <v>703-4832:LOAD=820</v>
          </cell>
          <cell r="K105" t="str">
            <v>RQ3</v>
          </cell>
          <cell r="L105">
            <v>256</v>
          </cell>
          <cell r="M105" t="str">
            <v>BES-&gt;CBU1/2周,FLP1mm</v>
          </cell>
          <cell r="N105" t="str">
            <v>13.70J</v>
          </cell>
        </row>
        <row r="106">
          <cell r="A106" t="str">
            <v>B0021J30259</v>
          </cell>
          <cell r="B106">
            <v>35591</v>
          </cell>
          <cell r="C106" t="str">
            <v>7RSB001A</v>
          </cell>
          <cell r="D106">
            <v>335</v>
          </cell>
          <cell r="E106" t="str">
            <v>325/45R13</v>
          </cell>
          <cell r="F106" t="str">
            <v>RA21</v>
          </cell>
          <cell r="G106" t="str">
            <v>B0021J</v>
          </cell>
          <cell r="H106" t="str">
            <v>NN</v>
          </cell>
          <cell r="I106">
            <v>30259</v>
          </cell>
          <cell r="J106" t="str">
            <v>RD8 T2185J</v>
          </cell>
          <cell r="K106" t="str">
            <v>R02</v>
          </cell>
          <cell r="L106">
            <v>276</v>
          </cell>
          <cell r="M106" t="str">
            <v>1,2P間セパ-&gt;CBU,一部BES,FLPｾﾊﾟ2mm</v>
          </cell>
          <cell r="N106" t="str">
            <v>13.70J</v>
          </cell>
        </row>
        <row r="107">
          <cell r="A107" t="str">
            <v>B0021J30245</v>
          </cell>
          <cell r="B107">
            <v>35591</v>
          </cell>
          <cell r="C107" t="str">
            <v>7RSB001A</v>
          </cell>
          <cell r="D107">
            <v>335</v>
          </cell>
          <cell r="E107" t="str">
            <v>325/45R13</v>
          </cell>
          <cell r="F107" t="str">
            <v>RA21</v>
          </cell>
          <cell r="G107" t="str">
            <v>B0021J</v>
          </cell>
          <cell r="H107" t="str">
            <v>NN</v>
          </cell>
          <cell r="I107">
            <v>30245</v>
          </cell>
          <cell r="J107" t="str">
            <v>RD8 T2185J</v>
          </cell>
          <cell r="K107" t="str">
            <v>R02</v>
          </cell>
          <cell r="L107">
            <v>351</v>
          </cell>
          <cell r="M107" t="str">
            <v>BES-&gt;全周CBU,FLP 5mm</v>
          </cell>
        </row>
        <row r="108">
          <cell r="A108" t="str">
            <v>T0937J6367</v>
          </cell>
          <cell r="B108">
            <v>35591</v>
          </cell>
          <cell r="C108" t="str">
            <v>7RSB001A</v>
          </cell>
          <cell r="D108">
            <v>335</v>
          </cell>
          <cell r="E108" t="str">
            <v>325/45R13</v>
          </cell>
          <cell r="F108" t="str">
            <v>RA21</v>
          </cell>
          <cell r="G108" t="str">
            <v>T0937J</v>
          </cell>
          <cell r="H108" t="str">
            <v>NN</v>
          </cell>
          <cell r="I108">
            <v>6367</v>
          </cell>
          <cell r="J108" t="str">
            <v>M0改:TOPウスGa(4832)</v>
          </cell>
          <cell r="K108" t="str">
            <v>R02</v>
          </cell>
          <cell r="L108">
            <v>262</v>
          </cell>
          <cell r="M108" t="str">
            <v>BES-&gt;全周CBU,FLP 5mm</v>
          </cell>
          <cell r="N108" t="str">
            <v>13.70J</v>
          </cell>
        </row>
        <row r="109">
          <cell r="A109" t="str">
            <v>T0937R31274</v>
          </cell>
          <cell r="B109">
            <v>35591</v>
          </cell>
          <cell r="C109" t="str">
            <v>7RSB001A</v>
          </cell>
          <cell r="D109">
            <v>335</v>
          </cell>
          <cell r="E109" t="str">
            <v>325/45R13</v>
          </cell>
          <cell r="F109" t="str">
            <v>RA21</v>
          </cell>
          <cell r="G109" t="str">
            <v>T0937R</v>
          </cell>
          <cell r="H109" t="str">
            <v>NN</v>
          </cell>
          <cell r="I109">
            <v>31274</v>
          </cell>
          <cell r="J109" t="str">
            <v>RA21改：ｸﾗｳﾝ形状改良</v>
          </cell>
          <cell r="K109" t="str">
            <v>R02</v>
          </cell>
          <cell r="L109">
            <v>381</v>
          </cell>
          <cell r="M109" t="str">
            <v>3/4周BLC,BES-&gt;CBU,FLPｾﾊﾟ大</v>
          </cell>
          <cell r="N109" t="str">
            <v>13.70J</v>
          </cell>
        </row>
        <row r="110">
          <cell r="A110" t="str">
            <v>B0021J33451</v>
          </cell>
          <cell r="B110">
            <v>35605</v>
          </cell>
          <cell r="C110" t="str">
            <v>7RSB001A</v>
          </cell>
          <cell r="D110">
            <v>336</v>
          </cell>
          <cell r="E110" t="str">
            <v>325/45R13</v>
          </cell>
          <cell r="F110" t="str">
            <v>RA21</v>
          </cell>
          <cell r="G110" t="str">
            <v>B0021J</v>
          </cell>
          <cell r="H110" t="str">
            <v>NN</v>
          </cell>
          <cell r="I110">
            <v>33451</v>
          </cell>
          <cell r="J110" t="str">
            <v>RD9 T2185J</v>
          </cell>
          <cell r="K110" t="str">
            <v>R02</v>
          </cell>
          <cell r="L110">
            <v>418</v>
          </cell>
          <cell r="M110" t="str">
            <v>BES-&gt;1,2P間セパ-&gt;CBU,FLPｾﾊﾟ5mm</v>
          </cell>
          <cell r="N110" t="str">
            <v>13.70J</v>
          </cell>
        </row>
        <row r="111">
          <cell r="A111" t="str">
            <v>B1051X29940</v>
          </cell>
          <cell r="B111">
            <v>35605</v>
          </cell>
          <cell r="C111" t="str">
            <v>7RSB001A</v>
          </cell>
          <cell r="D111">
            <v>336</v>
          </cell>
          <cell r="E111" t="str">
            <v>325/45R13</v>
          </cell>
          <cell r="F111" t="str">
            <v>WF03A</v>
          </cell>
          <cell r="G111" t="str">
            <v>B1051X</v>
          </cell>
          <cell r="H111" t="str">
            <v>NN</v>
          </cell>
          <cell r="I111">
            <v>29940</v>
          </cell>
          <cell r="J111" t="str">
            <v>RD9 R2894X</v>
          </cell>
          <cell r="K111" t="str">
            <v>R02</v>
          </cell>
          <cell r="L111">
            <v>333</v>
          </cell>
          <cell r="M111" t="str">
            <v>BES-&gt;CBU,FLPｾﾊﾟ2mm</v>
          </cell>
          <cell r="N111" t="str">
            <v>13.70J</v>
          </cell>
        </row>
        <row r="112">
          <cell r="A112" t="str">
            <v>T0937J33035</v>
          </cell>
          <cell r="B112">
            <v>35605</v>
          </cell>
          <cell r="C112" t="str">
            <v>7RSB001A</v>
          </cell>
          <cell r="D112">
            <v>336</v>
          </cell>
          <cell r="E112" t="str">
            <v>325/45R13</v>
          </cell>
          <cell r="F112" t="str">
            <v>RA21</v>
          </cell>
          <cell r="G112" t="str">
            <v>T0937J</v>
          </cell>
          <cell r="H112" t="str">
            <v>NN</v>
          </cell>
          <cell r="I112">
            <v>33035</v>
          </cell>
          <cell r="J112" t="str">
            <v>M0改:TOPウスGa(4849)</v>
          </cell>
          <cell r="K112" t="str">
            <v>R02</v>
          </cell>
          <cell r="L112">
            <v>268</v>
          </cell>
          <cell r="M112" t="str">
            <v>1,2P間セパ-&gt;1-&gt;2PCBU,FLPｾﾊﾟ2mm</v>
          </cell>
          <cell r="N112" t="str">
            <v>13.70J</v>
          </cell>
        </row>
        <row r="113">
          <cell r="A113" t="str">
            <v>Z0937J32925</v>
          </cell>
          <cell r="B113">
            <v>35605</v>
          </cell>
          <cell r="C113" t="str">
            <v>7RSB001A</v>
          </cell>
          <cell r="D113">
            <v>336</v>
          </cell>
          <cell r="E113" t="str">
            <v>325/45R13</v>
          </cell>
          <cell r="F113" t="str">
            <v>RA21</v>
          </cell>
          <cell r="G113" t="str">
            <v>Z0937J</v>
          </cell>
          <cell r="H113" t="str">
            <v>NN</v>
          </cell>
          <cell r="I113">
            <v>32925</v>
          </cell>
          <cell r="J113" t="str">
            <v>BEG無,1B+5</v>
          </cell>
          <cell r="K113" t="str">
            <v>R02</v>
          </cell>
          <cell r="L113">
            <v>267</v>
          </cell>
          <cell r="M113" t="str">
            <v>1,2P間セパ-&gt;1-&gt;2PCBU,FLPｾﾊﾟ2mm</v>
          </cell>
          <cell r="N113" t="str">
            <v>13.70J</v>
          </cell>
        </row>
        <row r="114">
          <cell r="A114" t="str">
            <v>Z0937J32928</v>
          </cell>
          <cell r="B114">
            <v>35605</v>
          </cell>
          <cell r="C114" t="str">
            <v>7RSB001A</v>
          </cell>
          <cell r="D114">
            <v>336</v>
          </cell>
          <cell r="E114" t="str">
            <v>325/45R13</v>
          </cell>
          <cell r="F114" t="str">
            <v>RA21</v>
          </cell>
          <cell r="G114" t="str">
            <v>Z0937J</v>
          </cell>
          <cell r="H114" t="str">
            <v>NN</v>
          </cell>
          <cell r="I114">
            <v>32928</v>
          </cell>
          <cell r="J114" t="str">
            <v>BEG無,1B+10</v>
          </cell>
          <cell r="K114" t="str">
            <v>R02</v>
          </cell>
          <cell r="L114">
            <v>387</v>
          </cell>
          <cell r="M114" t="str">
            <v>BES-&gt;CBU,FLPｾﾊﾟ5mm</v>
          </cell>
          <cell r="N114" t="str">
            <v>13.70J</v>
          </cell>
        </row>
        <row r="115">
          <cell r="A115" t="str">
            <v>B1001P82077</v>
          </cell>
          <cell r="B115">
            <v>35605</v>
          </cell>
          <cell r="C115" t="str">
            <v>7RSB001A</v>
          </cell>
          <cell r="D115">
            <v>337</v>
          </cell>
          <cell r="E115" t="str">
            <v>325/45R13</v>
          </cell>
          <cell r="F115" t="str">
            <v>WF01L</v>
          </cell>
          <cell r="G115" t="str">
            <v>B1001P</v>
          </cell>
          <cell r="H115" t="str">
            <v>NN</v>
          </cell>
          <cell r="I115">
            <v>82077</v>
          </cell>
          <cell r="J115" t="str">
            <v>屋上２週間放置品</v>
          </cell>
          <cell r="K115" t="str">
            <v>R02</v>
          </cell>
          <cell r="L115">
            <v>465</v>
          </cell>
          <cell r="N115" t="str">
            <v>13.70J</v>
          </cell>
        </row>
        <row r="116">
          <cell r="A116" t="str">
            <v>B1001P82049</v>
          </cell>
          <cell r="B116">
            <v>35605</v>
          </cell>
          <cell r="C116" t="str">
            <v>7RSB001A</v>
          </cell>
          <cell r="D116">
            <v>337</v>
          </cell>
          <cell r="E116" t="str">
            <v>325/45R13</v>
          </cell>
          <cell r="F116" t="str">
            <v>WF01L</v>
          </cell>
          <cell r="G116" t="str">
            <v>B1001P</v>
          </cell>
          <cell r="H116" t="str">
            <v>NN</v>
          </cell>
          <cell r="I116">
            <v>82049</v>
          </cell>
          <cell r="J116" t="str">
            <v>屋上２週間放置品</v>
          </cell>
          <cell r="K116" t="str">
            <v>R02</v>
          </cell>
          <cell r="L116">
            <v>379</v>
          </cell>
          <cell r="N116" t="str">
            <v>13.70J</v>
          </cell>
        </row>
        <row r="117">
          <cell r="A117" t="str">
            <v>B1001P82029</v>
          </cell>
          <cell r="B117">
            <v>35605</v>
          </cell>
          <cell r="C117" t="str">
            <v>7RSB001A</v>
          </cell>
          <cell r="D117">
            <v>337</v>
          </cell>
          <cell r="E117" t="str">
            <v>325/45R13</v>
          </cell>
          <cell r="F117" t="str">
            <v>WF01L</v>
          </cell>
          <cell r="G117" t="str">
            <v>B1001P</v>
          </cell>
          <cell r="H117" t="str">
            <v>NN</v>
          </cell>
          <cell r="I117">
            <v>82029</v>
          </cell>
          <cell r="J117" t="str">
            <v>屋上１ｶ月放置品(Assy)</v>
          </cell>
          <cell r="K117" t="str">
            <v>R02</v>
          </cell>
          <cell r="L117">
            <v>355</v>
          </cell>
          <cell r="N117" t="str">
            <v>13.70J</v>
          </cell>
        </row>
        <row r="118">
          <cell r="A118" t="str">
            <v>B1001P82054</v>
          </cell>
          <cell r="B118">
            <v>35605</v>
          </cell>
          <cell r="C118" t="str">
            <v>7RSB001A</v>
          </cell>
          <cell r="D118">
            <v>337</v>
          </cell>
          <cell r="E118" t="str">
            <v>325/45R13</v>
          </cell>
          <cell r="F118" t="str">
            <v>WF01L</v>
          </cell>
          <cell r="G118" t="str">
            <v>B1001P</v>
          </cell>
          <cell r="H118" t="str">
            <v>NN</v>
          </cell>
          <cell r="I118">
            <v>82054</v>
          </cell>
          <cell r="J118" t="str">
            <v>屋上１ｶ月放置品</v>
          </cell>
          <cell r="K118" t="str">
            <v>R02</v>
          </cell>
          <cell r="L118">
            <v>314</v>
          </cell>
          <cell r="N118" t="str">
            <v>13.70J</v>
          </cell>
        </row>
        <row r="119">
          <cell r="A119" t="str">
            <v>B1001P82066</v>
          </cell>
          <cell r="B119">
            <v>35605</v>
          </cell>
          <cell r="C119" t="str">
            <v>7RSB001A</v>
          </cell>
          <cell r="D119">
            <v>337</v>
          </cell>
          <cell r="E119" t="str">
            <v>325/45R13</v>
          </cell>
          <cell r="F119" t="str">
            <v>WF01L</v>
          </cell>
          <cell r="G119" t="str">
            <v>B1001P</v>
          </cell>
          <cell r="H119" t="str">
            <v>NN</v>
          </cell>
          <cell r="I119">
            <v>82066</v>
          </cell>
          <cell r="J119" t="str">
            <v>屋上１ｶ月放置品(DEFLATE放置)</v>
          </cell>
          <cell r="K119" t="str">
            <v>R02</v>
          </cell>
          <cell r="L119">
            <v>458</v>
          </cell>
          <cell r="N119" t="str">
            <v>13.70J</v>
          </cell>
        </row>
        <row r="120">
          <cell r="A120" t="str">
            <v>B1001PAAAAA</v>
          </cell>
          <cell r="B120">
            <v>35605</v>
          </cell>
          <cell r="C120" t="str">
            <v>7RSB001A</v>
          </cell>
          <cell r="D120">
            <v>337</v>
          </cell>
          <cell r="E120" t="str">
            <v>325/45R13</v>
          </cell>
          <cell r="F120" t="str">
            <v>WF01L</v>
          </cell>
          <cell r="G120" t="str">
            <v>B1001P</v>
          </cell>
          <cell r="H120" t="str">
            <v>NN</v>
          </cell>
          <cell r="I120" t="str">
            <v>AAAAA</v>
          </cell>
          <cell r="J120" t="str">
            <v>倉庫保管品</v>
          </cell>
          <cell r="K120" t="str">
            <v>R02</v>
          </cell>
          <cell r="L120">
            <v>397</v>
          </cell>
          <cell r="N120" t="str">
            <v>13.70J</v>
          </cell>
        </row>
        <row r="121">
          <cell r="A121" t="str">
            <v>B1001Q81693</v>
          </cell>
          <cell r="B121">
            <v>35605</v>
          </cell>
          <cell r="C121" t="str">
            <v>7RSB001A</v>
          </cell>
          <cell r="D121">
            <v>337</v>
          </cell>
          <cell r="E121" t="str">
            <v>325/45R13</v>
          </cell>
          <cell r="F121" t="str">
            <v>WF01R</v>
          </cell>
          <cell r="G121" t="str">
            <v>B1001Q</v>
          </cell>
          <cell r="H121" t="str">
            <v>NN</v>
          </cell>
          <cell r="I121">
            <v>81693</v>
          </cell>
          <cell r="J121" t="str">
            <v>屋上２週間放置品</v>
          </cell>
          <cell r="K121" t="str">
            <v>SC1</v>
          </cell>
          <cell r="L121">
            <v>510</v>
          </cell>
          <cell r="N121" t="str">
            <v>13.70J</v>
          </cell>
        </row>
        <row r="122">
          <cell r="A122" t="str">
            <v>B1001Q81697</v>
          </cell>
          <cell r="B122">
            <v>35605</v>
          </cell>
          <cell r="C122" t="str">
            <v>7RSB001A</v>
          </cell>
          <cell r="D122">
            <v>337</v>
          </cell>
          <cell r="E122" t="str">
            <v>325/45R13</v>
          </cell>
          <cell r="F122" t="str">
            <v>WF01R</v>
          </cell>
          <cell r="G122" t="str">
            <v>B1001Q</v>
          </cell>
          <cell r="H122" t="str">
            <v>NN</v>
          </cell>
          <cell r="I122">
            <v>81697</v>
          </cell>
          <cell r="J122" t="str">
            <v>屋上２週間放置品</v>
          </cell>
          <cell r="K122" t="str">
            <v>SC1</v>
          </cell>
          <cell r="L122">
            <v>510</v>
          </cell>
          <cell r="N122" t="str">
            <v>13.70J</v>
          </cell>
        </row>
        <row r="123">
          <cell r="A123" t="str">
            <v>B1001Q81662</v>
          </cell>
          <cell r="B123">
            <v>35605</v>
          </cell>
          <cell r="C123" t="str">
            <v>7RSB001A</v>
          </cell>
          <cell r="D123">
            <v>337</v>
          </cell>
          <cell r="E123" t="str">
            <v>325/45R13</v>
          </cell>
          <cell r="F123" t="str">
            <v>WF01R</v>
          </cell>
          <cell r="G123" t="str">
            <v>B1001Q</v>
          </cell>
          <cell r="H123" t="str">
            <v>NN</v>
          </cell>
          <cell r="I123">
            <v>81662</v>
          </cell>
          <cell r="J123" t="str">
            <v>屋上１ｶ月放置品(Assy)</v>
          </cell>
          <cell r="K123" t="str">
            <v>SC1</v>
          </cell>
          <cell r="L123">
            <v>510</v>
          </cell>
          <cell r="N123" t="str">
            <v>13.70J</v>
          </cell>
        </row>
        <row r="124">
          <cell r="A124" t="str">
            <v>B1001Q81725</v>
          </cell>
          <cell r="B124">
            <v>35605</v>
          </cell>
          <cell r="C124" t="str">
            <v>7RSB001A</v>
          </cell>
          <cell r="D124">
            <v>337</v>
          </cell>
          <cell r="E124" t="str">
            <v>325/45R13</v>
          </cell>
          <cell r="F124" t="str">
            <v>WF01R</v>
          </cell>
          <cell r="G124" t="str">
            <v>B1001Q</v>
          </cell>
          <cell r="H124" t="str">
            <v>NN</v>
          </cell>
          <cell r="I124">
            <v>81725</v>
          </cell>
          <cell r="J124" t="str">
            <v>屋上１ｶ月放置品(Assy)</v>
          </cell>
          <cell r="K124" t="str">
            <v>SC1</v>
          </cell>
          <cell r="L124">
            <v>509</v>
          </cell>
          <cell r="N124" t="str">
            <v>13.70J</v>
          </cell>
        </row>
        <row r="125">
          <cell r="A125" t="str">
            <v>B1001Q81675</v>
          </cell>
          <cell r="B125">
            <v>35605</v>
          </cell>
          <cell r="C125" t="str">
            <v>7RSB001A</v>
          </cell>
          <cell r="D125">
            <v>337</v>
          </cell>
          <cell r="E125" t="str">
            <v>325/45R13</v>
          </cell>
          <cell r="F125" t="str">
            <v>WF01R</v>
          </cell>
          <cell r="G125" t="str">
            <v>B1001Q</v>
          </cell>
          <cell r="H125" t="str">
            <v>NN</v>
          </cell>
          <cell r="I125">
            <v>81675</v>
          </cell>
          <cell r="J125" t="str">
            <v>屋上１ｶ月放置品(DEFLATE放置)</v>
          </cell>
          <cell r="K125" t="str">
            <v>SC1</v>
          </cell>
          <cell r="L125">
            <v>510</v>
          </cell>
          <cell r="N125" t="str">
            <v>13.70J</v>
          </cell>
        </row>
        <row r="126">
          <cell r="A126" t="str">
            <v>B1001QBBBBB</v>
          </cell>
          <cell r="B126">
            <v>35605</v>
          </cell>
          <cell r="C126" t="str">
            <v>7RSB001A</v>
          </cell>
          <cell r="D126">
            <v>337</v>
          </cell>
          <cell r="E126" t="str">
            <v>325/45R13</v>
          </cell>
          <cell r="F126" t="str">
            <v>WF01R</v>
          </cell>
          <cell r="G126" t="str">
            <v>B1001Q</v>
          </cell>
          <cell r="H126" t="str">
            <v>NN</v>
          </cell>
          <cell r="I126" t="str">
            <v>BBBBB</v>
          </cell>
          <cell r="J126" t="str">
            <v>倉庫保管品</v>
          </cell>
          <cell r="K126" t="str">
            <v>SC1</v>
          </cell>
          <cell r="L126">
            <v>510</v>
          </cell>
          <cell r="N126" t="str">
            <v>13.70J</v>
          </cell>
        </row>
        <row r="127">
          <cell r="A127" t="str">
            <v>K0156J35936</v>
          </cell>
          <cell r="B127">
            <v>35619</v>
          </cell>
          <cell r="C127" t="str">
            <v>7RSB001A</v>
          </cell>
          <cell r="D127">
            <v>339</v>
          </cell>
          <cell r="E127" t="str">
            <v>325/45R13</v>
          </cell>
          <cell r="F127" t="str">
            <v>RA21</v>
          </cell>
          <cell r="G127" t="str">
            <v>K0156J</v>
          </cell>
          <cell r="H127" t="str">
            <v>W1</v>
          </cell>
          <cell r="I127">
            <v>35936</v>
          </cell>
          <cell r="J127" t="str">
            <v>T0改:top gauge 3.0 mm</v>
          </cell>
          <cell r="K127" t="str">
            <v>R03</v>
          </cell>
          <cell r="L127">
            <v>349</v>
          </cell>
          <cell r="N127" t="str">
            <v>13.70J</v>
          </cell>
        </row>
        <row r="128">
          <cell r="A128" t="str">
            <v>K0156J35936</v>
          </cell>
          <cell r="C128" t="str">
            <v>7RSB001A</v>
          </cell>
          <cell r="D128">
            <v>339</v>
          </cell>
          <cell r="E128" t="str">
            <v>325/45R13</v>
          </cell>
          <cell r="F128" t="str">
            <v>RA21</v>
          </cell>
          <cell r="G128" t="str">
            <v>K0156J</v>
          </cell>
          <cell r="H128" t="str">
            <v>W1</v>
          </cell>
          <cell r="I128">
            <v>35936</v>
          </cell>
          <cell r="J128" t="str">
            <v>T0改:TOPウスGa(4845)</v>
          </cell>
          <cell r="K128" t="str">
            <v>R03</v>
          </cell>
          <cell r="L128">
            <v>349</v>
          </cell>
          <cell r="M128" t="str">
            <v>BES,1-2P間ｾﾊﾟ-&gt;CBU,FLPｾﾊﾟ大</v>
          </cell>
          <cell r="N128" t="str">
            <v>13.70J</v>
          </cell>
        </row>
        <row r="129">
          <cell r="A129" t="str">
            <v>T0937J33020</v>
          </cell>
          <cell r="B129">
            <v>35619</v>
          </cell>
          <cell r="C129" t="str">
            <v>7RSB001A</v>
          </cell>
          <cell r="D129">
            <v>339</v>
          </cell>
          <cell r="E129" t="str">
            <v>325/45R13</v>
          </cell>
          <cell r="F129" t="str">
            <v>RA21</v>
          </cell>
          <cell r="G129" t="str">
            <v>T0937J</v>
          </cell>
          <cell r="H129" t="str">
            <v>NN</v>
          </cell>
          <cell r="I129">
            <v>33020</v>
          </cell>
          <cell r="J129" t="str">
            <v>M0改:TOPウスGa(4849)</v>
          </cell>
          <cell r="K129" t="str">
            <v>R02</v>
          </cell>
          <cell r="L129">
            <v>376</v>
          </cell>
          <cell r="M129" t="str">
            <v>1,2P間セパ-&gt;CBU,ｻｲﾄﾞ全面ｾﾊﾟ</v>
          </cell>
          <cell r="N129" t="str">
            <v>13.70J</v>
          </cell>
        </row>
        <row r="130">
          <cell r="A130" t="str">
            <v>T0937J33020</v>
          </cell>
          <cell r="B130">
            <v>35619</v>
          </cell>
          <cell r="C130" t="str">
            <v>7RSB001A</v>
          </cell>
          <cell r="D130">
            <v>339</v>
          </cell>
          <cell r="E130" t="str">
            <v>325/45R13</v>
          </cell>
          <cell r="F130" t="str">
            <v>RA21</v>
          </cell>
          <cell r="G130" t="str">
            <v>T0937J</v>
          </cell>
          <cell r="H130" t="str">
            <v>NN</v>
          </cell>
          <cell r="I130">
            <v>33020</v>
          </cell>
          <cell r="J130" t="str">
            <v>M0改:TOPウスGa(4849)</v>
          </cell>
          <cell r="K130" t="str">
            <v>R02</v>
          </cell>
          <cell r="L130">
            <v>376</v>
          </cell>
          <cell r="M130" t="str">
            <v>1,2P間セパ-&gt;CBU,ｻｲﾄﾞ全面ｾﾊﾟ</v>
          </cell>
          <cell r="N130" t="str">
            <v>13.70J</v>
          </cell>
        </row>
        <row r="131">
          <cell r="A131" t="str">
            <v>B0021J36716</v>
          </cell>
          <cell r="B131">
            <v>35627</v>
          </cell>
          <cell r="C131" t="str">
            <v>7RSB001A</v>
          </cell>
          <cell r="D131">
            <v>340</v>
          </cell>
          <cell r="E131" t="str">
            <v>325/45R13</v>
          </cell>
          <cell r="F131" t="str">
            <v>RA21</v>
          </cell>
          <cell r="G131" t="str">
            <v>B0021J</v>
          </cell>
          <cell r="H131" t="str">
            <v>NN</v>
          </cell>
          <cell r="I131">
            <v>36716</v>
          </cell>
          <cell r="J131" t="str">
            <v>RD10:T2185J-NN</v>
          </cell>
          <cell r="K131" t="str">
            <v>R02</v>
          </cell>
          <cell r="L131">
            <v>256</v>
          </cell>
          <cell r="M131" t="str">
            <v>1-2P間ｾﾊﾟ-&gt;CBU,FLP2mm</v>
          </cell>
          <cell r="N131" t="str">
            <v>13.70J</v>
          </cell>
        </row>
        <row r="132">
          <cell r="A132" t="str">
            <v>T0937J33027</v>
          </cell>
          <cell r="B132">
            <v>35627</v>
          </cell>
          <cell r="C132" t="str">
            <v>7RSB001A</v>
          </cell>
          <cell r="D132">
            <v>340</v>
          </cell>
          <cell r="E132" t="str">
            <v>325/45R13</v>
          </cell>
          <cell r="F132" t="str">
            <v>RA21</v>
          </cell>
          <cell r="G132" t="str">
            <v>T0937J</v>
          </cell>
          <cell r="H132" t="str">
            <v>NN</v>
          </cell>
          <cell r="I132">
            <v>33027</v>
          </cell>
          <cell r="J132" t="str">
            <v>M0改:TOPウスGa(4849)</v>
          </cell>
          <cell r="K132" t="str">
            <v>R02</v>
          </cell>
          <cell r="L132">
            <v>296</v>
          </cell>
          <cell r="M132" t="str">
            <v>BES,1-2P間ｾﾊﾟ-&gt;CBU,FLPｾﾊﾟ大</v>
          </cell>
          <cell r="N132" t="str">
            <v>13.70J</v>
          </cell>
        </row>
        <row r="133">
          <cell r="A133" t="str">
            <v>Z0937J18674</v>
          </cell>
          <cell r="B133">
            <v>35627</v>
          </cell>
          <cell r="C133" t="str">
            <v>7RSB001A</v>
          </cell>
          <cell r="D133">
            <v>340</v>
          </cell>
          <cell r="E133" t="str">
            <v>325/45R13</v>
          </cell>
          <cell r="F133" t="str">
            <v>RA21</v>
          </cell>
          <cell r="G133" t="str">
            <v>Z0937J</v>
          </cell>
          <cell r="H133" t="str">
            <v>NN</v>
          </cell>
          <cell r="I133">
            <v>18674</v>
          </cell>
          <cell r="J133" t="str">
            <v>T0改:BEG無</v>
          </cell>
          <cell r="K133" t="str">
            <v>R02</v>
          </cell>
          <cell r="L133">
            <v>291</v>
          </cell>
          <cell r="M133" t="str">
            <v>1B端周上１ｶ所のみ1-2P間ｾﾊﾟ-&gt;CBU,FLP50mm</v>
          </cell>
          <cell r="N133" t="str">
            <v>13.70J</v>
          </cell>
        </row>
        <row r="134">
          <cell r="A134" t="str">
            <v>Z0937J32924</v>
          </cell>
          <cell r="B134">
            <v>35627</v>
          </cell>
          <cell r="C134" t="str">
            <v>7RSB001A</v>
          </cell>
          <cell r="D134">
            <v>340</v>
          </cell>
          <cell r="E134" t="str">
            <v>325/45R13</v>
          </cell>
          <cell r="F134" t="str">
            <v>RA21</v>
          </cell>
          <cell r="G134" t="str">
            <v>Z0937J</v>
          </cell>
          <cell r="H134" t="str">
            <v>B1</v>
          </cell>
          <cell r="I134">
            <v>32924</v>
          </cell>
          <cell r="J134" t="str">
            <v>T0改:BEG無,1B+5</v>
          </cell>
          <cell r="K134" t="str">
            <v>R02</v>
          </cell>
          <cell r="L134">
            <v>288</v>
          </cell>
          <cell r="M134" t="str">
            <v>1-2P間ｾﾊﾟ-&gt;2PCBU1/2周,FLP50mm</v>
          </cell>
          <cell r="N134" t="str">
            <v>13.70J</v>
          </cell>
        </row>
        <row r="135">
          <cell r="A135" t="str">
            <v>B0021J36679</v>
          </cell>
          <cell r="B135">
            <v>35633</v>
          </cell>
          <cell r="C135" t="str">
            <v>7RSB001A</v>
          </cell>
          <cell r="D135">
            <v>341</v>
          </cell>
          <cell r="E135" t="str">
            <v>325/45R13</v>
          </cell>
          <cell r="F135" t="str">
            <v>RA21</v>
          </cell>
          <cell r="G135" t="str">
            <v>B0021J</v>
          </cell>
          <cell r="H135" t="str">
            <v>NN</v>
          </cell>
          <cell r="I135">
            <v>36679</v>
          </cell>
          <cell r="J135" t="str">
            <v>RD10:T2185J-NN</v>
          </cell>
          <cell r="K135" t="str">
            <v>R02</v>
          </cell>
          <cell r="L135">
            <v>352</v>
          </cell>
          <cell r="M135" t="str">
            <v>BES,1-2P間ｾﾊﾟ-&gt;CBU,FLPｾﾊﾟ大</v>
          </cell>
          <cell r="N135" t="str">
            <v>13.70J</v>
          </cell>
        </row>
        <row r="136">
          <cell r="A136" t="str">
            <v>T0937J33029</v>
          </cell>
          <cell r="B136">
            <v>35633</v>
          </cell>
          <cell r="C136" t="str">
            <v>7RSB001A</v>
          </cell>
          <cell r="D136">
            <v>341</v>
          </cell>
          <cell r="E136" t="str">
            <v>325/45R13</v>
          </cell>
          <cell r="F136" t="str">
            <v>RA21</v>
          </cell>
          <cell r="G136" t="str">
            <v>T0937J</v>
          </cell>
          <cell r="H136" t="str">
            <v>NN</v>
          </cell>
          <cell r="I136">
            <v>33029</v>
          </cell>
          <cell r="J136" t="str">
            <v>M0改:TOPウスGa(4849)</v>
          </cell>
          <cell r="K136" t="str">
            <v>R02</v>
          </cell>
          <cell r="L136">
            <v>381</v>
          </cell>
          <cell r="M136" t="str">
            <v>BES,1-2P間ｾﾊﾟ-&gt;CBU,FLPｾﾊﾟ大</v>
          </cell>
          <cell r="N136" t="str">
            <v>13.70J</v>
          </cell>
        </row>
        <row r="137">
          <cell r="A137" t="str">
            <v>B0029J42677</v>
          </cell>
          <cell r="B137">
            <v>35650</v>
          </cell>
          <cell r="C137" t="str">
            <v>7RSB001A</v>
          </cell>
          <cell r="D137">
            <v>342</v>
          </cell>
          <cell r="E137" t="str">
            <v>325/45R13</v>
          </cell>
          <cell r="F137" t="str">
            <v>RA21</v>
          </cell>
          <cell r="G137" t="str">
            <v>B0029J</v>
          </cell>
          <cell r="H137" t="str">
            <v>NN</v>
          </cell>
          <cell r="I137">
            <v>42677</v>
          </cell>
          <cell r="J137" t="str">
            <v>RD11:T2126J-NN</v>
          </cell>
          <cell r="K137" t="str">
            <v>R02</v>
          </cell>
          <cell r="L137">
            <v>376</v>
          </cell>
          <cell r="M137" t="str">
            <v>BES,1-2P間ｾﾊﾟ-&gt;CBU</v>
          </cell>
          <cell r="N137" t="str">
            <v>13.70J</v>
          </cell>
        </row>
        <row r="138">
          <cell r="A138" t="str">
            <v>T0937J33037</v>
          </cell>
          <cell r="B138">
            <v>35650</v>
          </cell>
          <cell r="C138" t="str">
            <v>7RSB001A</v>
          </cell>
          <cell r="D138">
            <v>342</v>
          </cell>
          <cell r="E138" t="str">
            <v>325/45R13</v>
          </cell>
          <cell r="F138" t="str">
            <v>RA21</v>
          </cell>
          <cell r="G138" t="str">
            <v>T0937J</v>
          </cell>
          <cell r="H138" t="str">
            <v>NN</v>
          </cell>
          <cell r="I138">
            <v>33037</v>
          </cell>
          <cell r="J138" t="str">
            <v>M0改:TOPウスGa(4849)</v>
          </cell>
          <cell r="K138" t="str">
            <v>R02</v>
          </cell>
          <cell r="L138">
            <v>321</v>
          </cell>
          <cell r="M138" t="str">
            <v>BES,1-2P間ｾﾊﾟ-&gt;CBU</v>
          </cell>
          <cell r="N138" t="str">
            <v>13.70J</v>
          </cell>
        </row>
        <row r="139">
          <cell r="A139" t="str">
            <v>T0937J33033</v>
          </cell>
          <cell r="B139">
            <v>35675</v>
          </cell>
          <cell r="C139" t="str">
            <v>7RSB001A</v>
          </cell>
          <cell r="D139">
            <v>343</v>
          </cell>
          <cell r="E139" t="str">
            <v>325/45R13</v>
          </cell>
          <cell r="F139" t="str">
            <v>RA21</v>
          </cell>
          <cell r="G139" t="str">
            <v>T0937J</v>
          </cell>
          <cell r="H139" t="str">
            <v>NN</v>
          </cell>
          <cell r="I139">
            <v>33033</v>
          </cell>
          <cell r="J139" t="str">
            <v>M0改:TOPウスGa(4856)</v>
          </cell>
          <cell r="K139" t="str">
            <v>R02</v>
          </cell>
          <cell r="L139">
            <v>414</v>
          </cell>
          <cell r="M139" t="str">
            <v>1-2P間ｾﾊﾟ-&gt;CBU,FLP大</v>
          </cell>
          <cell r="N139" t="str">
            <v>13.70J</v>
          </cell>
        </row>
        <row r="140">
          <cell r="A140" t="str">
            <v>B0021J44471</v>
          </cell>
          <cell r="B140">
            <v>35675</v>
          </cell>
          <cell r="C140" t="str">
            <v>7RSB001A</v>
          </cell>
          <cell r="D140">
            <v>343</v>
          </cell>
          <cell r="E140" t="str">
            <v>325/45R13</v>
          </cell>
          <cell r="F140" t="str">
            <v>RA21</v>
          </cell>
          <cell r="G140" t="str">
            <v>B0021J</v>
          </cell>
          <cell r="H140" t="str">
            <v>NN</v>
          </cell>
          <cell r="I140">
            <v>44471</v>
          </cell>
          <cell r="J140" t="str">
            <v>RD12:T2185J-NN</v>
          </cell>
          <cell r="K140" t="str">
            <v>R02</v>
          </cell>
          <cell r="L140">
            <v>309</v>
          </cell>
          <cell r="M140" t="str">
            <v>BES,1-2P間ｾﾊﾟ-&gt;CBU,FLP大</v>
          </cell>
          <cell r="N140" t="str">
            <v>13.70J</v>
          </cell>
        </row>
        <row r="141">
          <cell r="A141" t="str">
            <v>T0185E48280</v>
          </cell>
          <cell r="B141">
            <v>35675</v>
          </cell>
          <cell r="C141" t="str">
            <v>7RSB001A</v>
          </cell>
          <cell r="D141">
            <v>343</v>
          </cell>
          <cell r="E141" t="str">
            <v>325/45R13</v>
          </cell>
          <cell r="F141" t="str">
            <v>RA21</v>
          </cell>
          <cell r="G141" t="str">
            <v>T0185E</v>
          </cell>
          <cell r="H141" t="str">
            <v>NN</v>
          </cell>
          <cell r="I141">
            <v>48280</v>
          </cell>
          <cell r="J141" t="str">
            <v>8/27SILV-TEST:新形状(4829)</v>
          </cell>
          <cell r="K141" t="str">
            <v>R02</v>
          </cell>
          <cell r="L141">
            <v>266</v>
          </cell>
          <cell r="M141" t="str">
            <v>BES-&gt;CBU,一部1-2P間ｾﾊﾟFLP10mm</v>
          </cell>
          <cell r="N141" t="str">
            <v>13.70J</v>
          </cell>
        </row>
        <row r="142">
          <cell r="A142" t="str">
            <v>T0185E48279</v>
          </cell>
          <cell r="B142">
            <v>35675</v>
          </cell>
          <cell r="C142" t="str">
            <v>7RSB001A</v>
          </cell>
          <cell r="D142">
            <v>345</v>
          </cell>
          <cell r="E142" t="str">
            <v>325/45R13</v>
          </cell>
          <cell r="F142" t="str">
            <v>RA21</v>
          </cell>
          <cell r="G142" t="str">
            <v>T0185E</v>
          </cell>
          <cell r="H142" t="str">
            <v>NN</v>
          </cell>
          <cell r="I142">
            <v>48279</v>
          </cell>
          <cell r="J142" t="str">
            <v>8/27SILV-TEST:新形状(4829)</v>
          </cell>
          <cell r="K142" t="str">
            <v>R02</v>
          </cell>
          <cell r="L142">
            <v>351</v>
          </cell>
          <cell r="M142" t="str">
            <v>BES-&gt;CBU,BLC全周</v>
          </cell>
          <cell r="N142" t="str">
            <v>13.70J</v>
          </cell>
        </row>
        <row r="143">
          <cell r="A143" t="str">
            <v>T0937J33021</v>
          </cell>
          <cell r="B143">
            <v>35676</v>
          </cell>
          <cell r="C143" t="str">
            <v>7RSB001A</v>
          </cell>
          <cell r="D143">
            <v>344</v>
          </cell>
          <cell r="E143" t="str">
            <v>325/45R13</v>
          </cell>
          <cell r="F143" t="str">
            <v>RA21</v>
          </cell>
          <cell r="G143" t="str">
            <v>T0937J</v>
          </cell>
          <cell r="H143" t="str">
            <v>NN</v>
          </cell>
          <cell r="I143">
            <v>33021</v>
          </cell>
          <cell r="J143" t="str">
            <v>M0改:TOPウスGa(4849)</v>
          </cell>
          <cell r="K143" t="str">
            <v>R02</v>
          </cell>
          <cell r="L143">
            <v>258</v>
          </cell>
          <cell r="M143" t="str">
            <v>BES,1-2P間ｾﾊﾟ-&gt;CBU</v>
          </cell>
          <cell r="N143" t="str">
            <v>13.70J</v>
          </cell>
        </row>
        <row r="144">
          <cell r="A144" t="str">
            <v>B0033J49820</v>
          </cell>
          <cell r="B144">
            <v>35676</v>
          </cell>
          <cell r="C144" t="str">
            <v>7RSB001A</v>
          </cell>
          <cell r="D144">
            <v>344</v>
          </cell>
          <cell r="E144" t="str">
            <v>325/45R13</v>
          </cell>
          <cell r="F144" t="str">
            <v>RA21</v>
          </cell>
          <cell r="G144" t="str">
            <v>B0033J</v>
          </cell>
          <cell r="H144" t="str">
            <v>NN</v>
          </cell>
          <cell r="I144">
            <v>49820</v>
          </cell>
          <cell r="J144" t="str">
            <v>RD13:K0129J-NN</v>
          </cell>
          <cell r="K144" t="str">
            <v>R02</v>
          </cell>
          <cell r="L144">
            <v>283</v>
          </cell>
          <cell r="M144" t="str">
            <v>BES,1-2P間ｾﾊﾟ-&gt;CBU</v>
          </cell>
          <cell r="N144" t="str">
            <v>13.70J</v>
          </cell>
        </row>
        <row r="145">
          <cell r="A145" t="str">
            <v>B0025J47935</v>
          </cell>
          <cell r="B145">
            <v>35676</v>
          </cell>
          <cell r="C145" t="str">
            <v>7RSB001A</v>
          </cell>
          <cell r="D145">
            <v>344</v>
          </cell>
          <cell r="E145" t="str">
            <v>325/45R13</v>
          </cell>
          <cell r="F145" t="str">
            <v>RA21</v>
          </cell>
          <cell r="G145" t="str">
            <v>B0025J</v>
          </cell>
          <cell r="H145" t="str">
            <v>NN</v>
          </cell>
          <cell r="I145">
            <v>47935</v>
          </cell>
          <cell r="J145" t="str">
            <v>RD13:T2156J-NN</v>
          </cell>
          <cell r="K145" t="str">
            <v>R02</v>
          </cell>
          <cell r="L145">
            <v>283</v>
          </cell>
          <cell r="M145" t="str">
            <v>BES,1-2P間ｾﾊﾟ-&gt;CBU</v>
          </cell>
          <cell r="N145" t="str">
            <v>13.70J</v>
          </cell>
        </row>
        <row r="146">
          <cell r="A146" t="str">
            <v>K0185J49581</v>
          </cell>
          <cell r="B146">
            <v>35676</v>
          </cell>
          <cell r="C146" t="str">
            <v>7RSB001A</v>
          </cell>
          <cell r="D146">
            <v>344</v>
          </cell>
          <cell r="E146" t="str">
            <v>325/45R13</v>
          </cell>
          <cell r="F146" t="str">
            <v>RA21</v>
          </cell>
          <cell r="G146" t="str">
            <v>K0185J</v>
          </cell>
          <cell r="H146" t="str">
            <v>NN</v>
          </cell>
          <cell r="I146">
            <v>49581</v>
          </cell>
          <cell r="J146" t="str">
            <v>9/9:SILV.S TEST</v>
          </cell>
          <cell r="K146" t="str">
            <v>R02</v>
          </cell>
          <cell r="L146">
            <v>261</v>
          </cell>
          <cell r="M146" t="str">
            <v>BES,1-2P間ｾﾊﾟ-&gt;CBU</v>
          </cell>
          <cell r="N146" t="str">
            <v>13.70J</v>
          </cell>
        </row>
        <row r="147">
          <cell r="A147" t="str">
            <v>K2185J49675</v>
          </cell>
          <cell r="B147">
            <v>35676</v>
          </cell>
          <cell r="C147" t="str">
            <v>7RSB001A</v>
          </cell>
          <cell r="D147">
            <v>344</v>
          </cell>
          <cell r="E147" t="str">
            <v>325/45R13</v>
          </cell>
          <cell r="F147" t="str">
            <v>RA21</v>
          </cell>
          <cell r="G147" t="str">
            <v>K2185J</v>
          </cell>
          <cell r="H147" t="str">
            <v>NN</v>
          </cell>
          <cell r="I147">
            <v>49675</v>
          </cell>
          <cell r="J147" t="str">
            <v>9/9:SILV.S TEST</v>
          </cell>
          <cell r="K147" t="str">
            <v>R02</v>
          </cell>
          <cell r="L147">
            <v>424</v>
          </cell>
          <cell r="M147" t="str">
            <v>BES,1-2P間ｾﾊﾟ-&gt;CBU</v>
          </cell>
          <cell r="N147" t="str">
            <v>13.70J</v>
          </cell>
        </row>
        <row r="148">
          <cell r="A148" t="str">
            <v>B0033J49802</v>
          </cell>
          <cell r="B148">
            <v>35676</v>
          </cell>
          <cell r="C148" t="str">
            <v>7RSB001A</v>
          </cell>
          <cell r="D148">
            <v>346</v>
          </cell>
          <cell r="E148" t="str">
            <v>325/45R13</v>
          </cell>
          <cell r="F148" t="str">
            <v>RA21</v>
          </cell>
          <cell r="G148" t="str">
            <v>B0033J</v>
          </cell>
          <cell r="H148" t="str">
            <v>NN</v>
          </cell>
          <cell r="I148">
            <v>49802</v>
          </cell>
          <cell r="J148" t="str">
            <v>RD13:K0129J-NN</v>
          </cell>
          <cell r="K148" t="str">
            <v>R02</v>
          </cell>
          <cell r="L148">
            <v>352</v>
          </cell>
          <cell r="M148" t="str">
            <v>BES,1-2P間ｾﾊﾟ-&gt;CBU</v>
          </cell>
          <cell r="N148" t="str">
            <v>13.70J</v>
          </cell>
        </row>
        <row r="149">
          <cell r="A149" t="str">
            <v>B0025J47962</v>
          </cell>
          <cell r="B149">
            <v>35676</v>
          </cell>
          <cell r="C149" t="str">
            <v>7RSB001A</v>
          </cell>
          <cell r="D149">
            <v>346</v>
          </cell>
          <cell r="E149" t="str">
            <v>325/45R13</v>
          </cell>
          <cell r="F149" t="str">
            <v>RA21</v>
          </cell>
          <cell r="G149" t="str">
            <v>B0025J</v>
          </cell>
          <cell r="H149" t="str">
            <v>NN</v>
          </cell>
          <cell r="I149">
            <v>47962</v>
          </cell>
          <cell r="J149" t="str">
            <v>RD13:T2156J-NN</v>
          </cell>
          <cell r="K149" t="str">
            <v>R02</v>
          </cell>
          <cell r="L149">
            <v>347</v>
          </cell>
          <cell r="M149" t="str">
            <v>BES,1-2P間ｾﾊﾟ-&gt;CBU</v>
          </cell>
          <cell r="N149" t="str">
            <v>13.70J</v>
          </cell>
        </row>
        <row r="150">
          <cell r="A150" t="str">
            <v>B0027J53653</v>
          </cell>
          <cell r="B150">
            <v>35681</v>
          </cell>
          <cell r="C150" t="str">
            <v>7RSB001A</v>
          </cell>
          <cell r="D150">
            <v>347</v>
          </cell>
          <cell r="E150" t="str">
            <v>325/45R13</v>
          </cell>
          <cell r="F150" t="str">
            <v>RA21</v>
          </cell>
          <cell r="G150" t="str">
            <v>B0027J</v>
          </cell>
          <cell r="H150" t="str">
            <v>NN</v>
          </cell>
          <cell r="I150">
            <v>53653</v>
          </cell>
          <cell r="J150" t="str">
            <v>RD14:T2129J-NN</v>
          </cell>
          <cell r="K150" t="str">
            <v>R02</v>
          </cell>
          <cell r="L150">
            <v>362</v>
          </cell>
          <cell r="M150" t="str">
            <v>BES,1-2P間ｾﾊﾟ-&gt;CBU</v>
          </cell>
          <cell r="N150" t="str">
            <v>13.70J</v>
          </cell>
        </row>
        <row r="151">
          <cell r="A151" t="str">
            <v>B0035J53455</v>
          </cell>
          <cell r="B151">
            <v>35681</v>
          </cell>
          <cell r="C151" t="str">
            <v>7RSB001A</v>
          </cell>
          <cell r="D151">
            <v>347</v>
          </cell>
          <cell r="E151" t="str">
            <v>325/45R13</v>
          </cell>
          <cell r="F151" t="str">
            <v>RA21</v>
          </cell>
          <cell r="G151" t="str">
            <v>B0035J</v>
          </cell>
          <cell r="H151" t="str">
            <v>NN</v>
          </cell>
          <cell r="I151">
            <v>53455</v>
          </cell>
          <cell r="J151" t="str">
            <v>RD14:K0171J-NN</v>
          </cell>
          <cell r="K151" t="str">
            <v>R02</v>
          </cell>
          <cell r="L151">
            <v>343</v>
          </cell>
          <cell r="M151" t="str">
            <v>BES,1-2P間ｾﾊﾟ-&gt;CBU</v>
          </cell>
          <cell r="N151" t="str">
            <v>13.70J</v>
          </cell>
        </row>
        <row r="152">
          <cell r="A152" t="str">
            <v>B0037J55801</v>
          </cell>
          <cell r="B152">
            <v>35681</v>
          </cell>
          <cell r="C152" t="str">
            <v>7RSB001A</v>
          </cell>
          <cell r="D152">
            <v>348</v>
          </cell>
          <cell r="E152" t="str">
            <v>325/45R13</v>
          </cell>
          <cell r="F152" t="str">
            <v>RA21</v>
          </cell>
          <cell r="G152" t="str">
            <v>B0037J</v>
          </cell>
          <cell r="H152" t="str">
            <v>NN</v>
          </cell>
          <cell r="I152">
            <v>55801</v>
          </cell>
          <cell r="J152" t="str">
            <v>RD15:T2331J-NN</v>
          </cell>
          <cell r="K152" t="str">
            <v>R02</v>
          </cell>
          <cell r="L152">
            <v>363</v>
          </cell>
          <cell r="M152" t="str">
            <v>BES,1-2P間ｾﾊﾟ-&gt;CBU</v>
          </cell>
          <cell r="N152" t="str">
            <v>13.70J</v>
          </cell>
        </row>
        <row r="153">
          <cell r="A153" t="str">
            <v>BOO41J60796</v>
          </cell>
          <cell r="B153">
            <v>35711</v>
          </cell>
          <cell r="C153" t="str">
            <v>7RSB001A</v>
          </cell>
          <cell r="D153">
            <v>350</v>
          </cell>
          <cell r="E153" t="str">
            <v>325/45R13</v>
          </cell>
          <cell r="F153" t="str">
            <v>RA21</v>
          </cell>
          <cell r="G153" t="str">
            <v>BOO41J</v>
          </cell>
          <cell r="H153" t="str">
            <v>NN</v>
          </cell>
          <cell r="I153">
            <v>60796</v>
          </cell>
          <cell r="J153" t="str">
            <v>RD16:K0355J-NN</v>
          </cell>
          <cell r="K153" t="str">
            <v>R02</v>
          </cell>
          <cell r="L153">
            <v>345</v>
          </cell>
          <cell r="M153" t="str">
            <v>BES,1-2P間ｾﾊﾟ-&gt;CBU</v>
          </cell>
          <cell r="N153" t="str">
            <v>13.70J</v>
          </cell>
        </row>
        <row r="154">
          <cell r="A154" t="str">
            <v>B0041J60817</v>
          </cell>
          <cell r="B154">
            <v>35711</v>
          </cell>
          <cell r="C154" t="str">
            <v>7RSB001A</v>
          </cell>
          <cell r="D154">
            <v>350</v>
          </cell>
          <cell r="E154" t="str">
            <v>325/45R13</v>
          </cell>
          <cell r="F154" t="str">
            <v>RA21</v>
          </cell>
          <cell r="G154" t="str">
            <v>B0041J</v>
          </cell>
          <cell r="H154" t="str">
            <v>NN</v>
          </cell>
          <cell r="I154">
            <v>60817</v>
          </cell>
          <cell r="J154" t="str">
            <v>RD16:K0355J-NN</v>
          </cell>
          <cell r="K154" t="str">
            <v>R02</v>
          </cell>
          <cell r="L154">
            <v>362</v>
          </cell>
          <cell r="M154" t="str">
            <v>BES,1-2P間ｾﾊﾟ-&gt;CBU</v>
          </cell>
          <cell r="N154" t="str">
            <v>13.70J</v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  <row r="209">
          <cell r="A209" t="str">
            <v/>
          </cell>
        </row>
        <row r="210">
          <cell r="A210" t="str">
            <v/>
          </cell>
        </row>
        <row r="211">
          <cell r="A211" t="str">
            <v/>
          </cell>
        </row>
        <row r="212">
          <cell r="A212" t="str">
            <v/>
          </cell>
        </row>
        <row r="213">
          <cell r="A213" t="str">
            <v/>
          </cell>
        </row>
        <row r="214">
          <cell r="A214" t="str">
            <v/>
          </cell>
        </row>
        <row r="215">
          <cell r="A215" t="str">
            <v/>
          </cell>
        </row>
        <row r="216">
          <cell r="A216" t="str">
            <v/>
          </cell>
        </row>
        <row r="217">
          <cell r="A217" t="str">
            <v/>
          </cell>
        </row>
        <row r="218">
          <cell r="A218" t="str">
            <v/>
          </cell>
        </row>
        <row r="219">
          <cell r="A219" t="str">
            <v/>
          </cell>
        </row>
        <row r="220">
          <cell r="A220" t="str">
            <v/>
          </cell>
        </row>
        <row r="221">
          <cell r="A221" t="str">
            <v/>
          </cell>
        </row>
        <row r="222">
          <cell r="A222" t="str">
            <v/>
          </cell>
        </row>
        <row r="223">
          <cell r="A223" t="str">
            <v/>
          </cell>
        </row>
        <row r="224">
          <cell r="A224" t="str">
            <v/>
          </cell>
        </row>
        <row r="225">
          <cell r="A225" t="str">
            <v/>
          </cell>
        </row>
        <row r="226">
          <cell r="A226" t="str">
            <v/>
          </cell>
        </row>
        <row r="227">
          <cell r="A227" t="str">
            <v/>
          </cell>
        </row>
        <row r="228">
          <cell r="A228" t="str">
            <v/>
          </cell>
        </row>
        <row r="229">
          <cell r="A229" t="str">
            <v/>
          </cell>
        </row>
        <row r="230">
          <cell r="A230" t="str">
            <v/>
          </cell>
        </row>
        <row r="231">
          <cell r="A231" t="str">
            <v/>
          </cell>
        </row>
        <row r="232">
          <cell r="A232" t="str">
            <v/>
          </cell>
        </row>
        <row r="233">
          <cell r="A233" t="str">
            <v/>
          </cell>
        </row>
        <row r="234">
          <cell r="A234" t="str">
            <v/>
          </cell>
        </row>
        <row r="235">
          <cell r="A235" t="str">
            <v/>
          </cell>
        </row>
        <row r="236">
          <cell r="A236" t="str">
            <v/>
          </cell>
        </row>
        <row r="237">
          <cell r="A237" t="str">
            <v/>
          </cell>
        </row>
        <row r="238">
          <cell r="A238" t="str">
            <v/>
          </cell>
        </row>
        <row r="239">
          <cell r="A239" t="str">
            <v/>
          </cell>
        </row>
        <row r="240">
          <cell r="A240" t="str">
            <v/>
          </cell>
        </row>
        <row r="241">
          <cell r="A241" t="str">
            <v/>
          </cell>
        </row>
        <row r="242">
          <cell r="A242" t="str">
            <v/>
          </cell>
        </row>
        <row r="243">
          <cell r="A243" t="str">
            <v/>
          </cell>
        </row>
        <row r="244">
          <cell r="A244" t="str">
            <v/>
          </cell>
        </row>
        <row r="245">
          <cell r="A245" t="str">
            <v/>
          </cell>
        </row>
        <row r="246">
          <cell r="A246" t="str">
            <v/>
          </cell>
        </row>
        <row r="247">
          <cell r="A247" t="str">
            <v/>
          </cell>
        </row>
        <row r="248">
          <cell r="A248" t="str">
            <v/>
          </cell>
        </row>
        <row r="249">
          <cell r="A249" t="str">
            <v/>
          </cell>
        </row>
        <row r="250">
          <cell r="A250" t="str">
            <v/>
          </cell>
        </row>
        <row r="251">
          <cell r="A251" t="str">
            <v/>
          </cell>
        </row>
        <row r="252">
          <cell r="A252" t="str">
            <v/>
          </cell>
        </row>
        <row r="253">
          <cell r="A253" t="str">
            <v/>
          </cell>
        </row>
        <row r="254">
          <cell r="A254" t="str">
            <v/>
          </cell>
        </row>
        <row r="255">
          <cell r="A255" t="str">
            <v/>
          </cell>
        </row>
        <row r="256">
          <cell r="A256" t="str">
            <v/>
          </cell>
        </row>
        <row r="257">
          <cell r="A257" t="str">
            <v/>
          </cell>
        </row>
        <row r="258">
          <cell r="A258" t="str">
            <v/>
          </cell>
        </row>
        <row r="259">
          <cell r="A259" t="str">
            <v/>
          </cell>
        </row>
        <row r="260">
          <cell r="A260" t="str">
            <v/>
          </cell>
        </row>
        <row r="261">
          <cell r="A261" t="str">
            <v/>
          </cell>
        </row>
        <row r="262">
          <cell r="A262" t="str">
            <v/>
          </cell>
        </row>
        <row r="263">
          <cell r="A263" t="str">
            <v/>
          </cell>
        </row>
        <row r="264">
          <cell r="A264" t="str">
            <v/>
          </cell>
        </row>
        <row r="265">
          <cell r="A265" t="str">
            <v/>
          </cell>
        </row>
        <row r="266">
          <cell r="A266" t="str">
            <v/>
          </cell>
        </row>
        <row r="267">
          <cell r="A267" t="str">
            <v/>
          </cell>
        </row>
        <row r="268">
          <cell r="A268" t="str">
            <v/>
          </cell>
        </row>
        <row r="269">
          <cell r="A269" t="str">
            <v/>
          </cell>
        </row>
        <row r="270">
          <cell r="A270" t="str">
            <v/>
          </cell>
        </row>
        <row r="271">
          <cell r="A271" t="str">
            <v/>
          </cell>
        </row>
        <row r="272">
          <cell r="A272" t="str">
            <v/>
          </cell>
        </row>
        <row r="273">
          <cell r="A273" t="str">
            <v/>
          </cell>
        </row>
        <row r="274">
          <cell r="A274" t="str">
            <v/>
          </cell>
        </row>
        <row r="275">
          <cell r="A275" t="str">
            <v/>
          </cell>
        </row>
        <row r="276">
          <cell r="A276" t="str">
            <v/>
          </cell>
        </row>
        <row r="277">
          <cell r="A277" t="str">
            <v/>
          </cell>
        </row>
        <row r="278">
          <cell r="A278" t="str">
            <v/>
          </cell>
        </row>
        <row r="279">
          <cell r="A279" t="str">
            <v/>
          </cell>
        </row>
        <row r="280">
          <cell r="A280" t="str">
            <v/>
          </cell>
        </row>
        <row r="281">
          <cell r="A281" t="str">
            <v/>
          </cell>
        </row>
        <row r="282">
          <cell r="A282" t="str">
            <v/>
          </cell>
        </row>
        <row r="283">
          <cell r="A283" t="str">
            <v/>
          </cell>
        </row>
        <row r="284">
          <cell r="A284" t="str">
            <v/>
          </cell>
        </row>
        <row r="285">
          <cell r="A285" t="str">
            <v/>
          </cell>
        </row>
        <row r="286">
          <cell r="A286" t="str">
            <v/>
          </cell>
        </row>
        <row r="287">
          <cell r="A287" t="str">
            <v/>
          </cell>
        </row>
        <row r="288">
          <cell r="A288" t="str">
            <v/>
          </cell>
        </row>
        <row r="289">
          <cell r="A289" t="str">
            <v/>
          </cell>
        </row>
        <row r="290">
          <cell r="A290" t="str">
            <v/>
          </cell>
        </row>
        <row r="291">
          <cell r="A291" t="str">
            <v/>
          </cell>
        </row>
        <row r="292">
          <cell r="A292" t="str">
            <v/>
          </cell>
        </row>
        <row r="293">
          <cell r="A293" t="str">
            <v/>
          </cell>
        </row>
        <row r="294">
          <cell r="A294" t="str">
            <v/>
          </cell>
        </row>
        <row r="295">
          <cell r="A295" t="str">
            <v/>
          </cell>
        </row>
        <row r="296">
          <cell r="A296" t="str">
            <v/>
          </cell>
        </row>
        <row r="297">
          <cell r="A297" t="str">
            <v/>
          </cell>
        </row>
        <row r="298">
          <cell r="A298" t="str">
            <v/>
          </cell>
        </row>
        <row r="299">
          <cell r="A299" t="str">
            <v/>
          </cell>
        </row>
        <row r="300">
          <cell r="A300" t="str">
            <v/>
          </cell>
        </row>
        <row r="301">
          <cell r="A301" t="str">
            <v/>
          </cell>
        </row>
        <row r="302">
          <cell r="A302" t="str">
            <v/>
          </cell>
        </row>
        <row r="303">
          <cell r="A303" t="str">
            <v/>
          </cell>
        </row>
        <row r="304">
          <cell r="A304" t="str">
            <v/>
          </cell>
        </row>
        <row r="305">
          <cell r="A305" t="str">
            <v/>
          </cell>
        </row>
        <row r="306">
          <cell r="A306" t="str">
            <v/>
          </cell>
        </row>
        <row r="307">
          <cell r="A307" t="str">
            <v/>
          </cell>
        </row>
        <row r="308">
          <cell r="A308" t="str">
            <v/>
          </cell>
        </row>
        <row r="309">
          <cell r="A309" t="str">
            <v/>
          </cell>
        </row>
        <row r="310">
          <cell r="A310" t="str">
            <v/>
          </cell>
        </row>
        <row r="311">
          <cell r="A311" t="str">
            <v/>
          </cell>
        </row>
        <row r="312">
          <cell r="A312" t="str">
            <v/>
          </cell>
        </row>
        <row r="313">
          <cell r="A313" t="str">
            <v/>
          </cell>
        </row>
        <row r="314">
          <cell r="A314" t="str">
            <v/>
          </cell>
        </row>
        <row r="315">
          <cell r="A315" t="str">
            <v/>
          </cell>
        </row>
        <row r="316">
          <cell r="A316" t="str">
            <v/>
          </cell>
        </row>
        <row r="317">
          <cell r="A317" t="str">
            <v/>
          </cell>
        </row>
        <row r="318">
          <cell r="A318" t="str">
            <v/>
          </cell>
        </row>
        <row r="319">
          <cell r="A319" t="str">
            <v/>
          </cell>
        </row>
        <row r="320">
          <cell r="A320" t="str">
            <v/>
          </cell>
        </row>
        <row r="321">
          <cell r="A321" t="str">
            <v/>
          </cell>
        </row>
        <row r="322">
          <cell r="A322" t="str">
            <v/>
          </cell>
        </row>
        <row r="323">
          <cell r="A323" t="str">
            <v/>
          </cell>
        </row>
        <row r="324">
          <cell r="A324" t="str">
            <v/>
          </cell>
        </row>
        <row r="325">
          <cell r="A325" t="str">
            <v/>
          </cell>
        </row>
        <row r="326">
          <cell r="A326" t="str">
            <v/>
          </cell>
        </row>
        <row r="327">
          <cell r="A327" t="str">
            <v/>
          </cell>
        </row>
        <row r="328">
          <cell r="A328" t="str">
            <v/>
          </cell>
        </row>
        <row r="329">
          <cell r="A329" t="str">
            <v/>
          </cell>
        </row>
        <row r="330">
          <cell r="A330" t="str">
            <v/>
          </cell>
        </row>
        <row r="331">
          <cell r="A331" t="str">
            <v/>
          </cell>
        </row>
        <row r="332">
          <cell r="A332" t="str">
            <v/>
          </cell>
        </row>
        <row r="333">
          <cell r="A333" t="str">
            <v/>
          </cell>
        </row>
        <row r="334">
          <cell r="A334" t="str">
            <v/>
          </cell>
        </row>
        <row r="335">
          <cell r="A335" t="str">
            <v/>
          </cell>
        </row>
        <row r="336">
          <cell r="A336" t="str">
            <v/>
          </cell>
        </row>
        <row r="337">
          <cell r="A337" t="str">
            <v/>
          </cell>
        </row>
        <row r="338">
          <cell r="A338" t="str">
            <v/>
          </cell>
        </row>
        <row r="339">
          <cell r="A339" t="str">
            <v/>
          </cell>
        </row>
        <row r="340">
          <cell r="A340" t="str">
            <v/>
          </cell>
        </row>
        <row r="341">
          <cell r="A341" t="str">
            <v/>
          </cell>
        </row>
        <row r="342">
          <cell r="A342" t="str">
            <v/>
          </cell>
        </row>
        <row r="343">
          <cell r="A343" t="str">
            <v/>
          </cell>
        </row>
        <row r="344">
          <cell r="A344" t="str">
            <v/>
          </cell>
        </row>
        <row r="345">
          <cell r="A345" t="str">
            <v/>
          </cell>
        </row>
        <row r="346">
          <cell r="A346" t="str">
            <v/>
          </cell>
        </row>
        <row r="347">
          <cell r="A347" t="str">
            <v/>
          </cell>
        </row>
        <row r="348">
          <cell r="A348" t="str">
            <v/>
          </cell>
        </row>
        <row r="349">
          <cell r="A349" t="str">
            <v/>
          </cell>
        </row>
        <row r="350">
          <cell r="A350" t="str">
            <v/>
          </cell>
        </row>
        <row r="351">
          <cell r="A351" t="str">
            <v/>
          </cell>
        </row>
        <row r="352">
          <cell r="A352" t="str">
            <v/>
          </cell>
        </row>
        <row r="353">
          <cell r="A353" t="str">
            <v/>
          </cell>
        </row>
        <row r="354">
          <cell r="A354" t="str">
            <v/>
          </cell>
        </row>
        <row r="355">
          <cell r="A355" t="str">
            <v/>
          </cell>
        </row>
        <row r="356">
          <cell r="A356" t="str">
            <v/>
          </cell>
        </row>
        <row r="357">
          <cell r="A357" t="str">
            <v/>
          </cell>
        </row>
        <row r="358">
          <cell r="A358" t="str">
            <v/>
          </cell>
        </row>
        <row r="359">
          <cell r="A359" t="str">
            <v/>
          </cell>
        </row>
        <row r="360">
          <cell r="A360" t="str">
            <v/>
          </cell>
        </row>
        <row r="361">
          <cell r="A361" t="str">
            <v/>
          </cell>
        </row>
        <row r="362">
          <cell r="A362" t="str">
            <v/>
          </cell>
        </row>
        <row r="363">
          <cell r="A363" t="str">
            <v/>
          </cell>
        </row>
        <row r="364">
          <cell r="A364" t="str">
            <v/>
          </cell>
        </row>
        <row r="365">
          <cell r="A365" t="str">
            <v/>
          </cell>
        </row>
        <row r="366">
          <cell r="A366" t="str">
            <v/>
          </cell>
        </row>
        <row r="367">
          <cell r="A367" t="str">
            <v/>
          </cell>
        </row>
        <row r="368">
          <cell r="A368" t="str">
            <v/>
          </cell>
        </row>
        <row r="369">
          <cell r="A369" t="str">
            <v/>
          </cell>
        </row>
        <row r="370">
          <cell r="A370" t="str">
            <v/>
          </cell>
        </row>
        <row r="371">
          <cell r="A371" t="str">
            <v/>
          </cell>
        </row>
        <row r="372">
          <cell r="A372" t="str">
            <v/>
          </cell>
        </row>
        <row r="373">
          <cell r="A373" t="str">
            <v/>
          </cell>
        </row>
        <row r="374">
          <cell r="A374" t="str">
            <v/>
          </cell>
        </row>
        <row r="375">
          <cell r="A375" t="str">
            <v/>
          </cell>
        </row>
        <row r="376">
          <cell r="A376" t="str">
            <v/>
          </cell>
        </row>
        <row r="377">
          <cell r="A377" t="str">
            <v/>
          </cell>
        </row>
        <row r="378">
          <cell r="A378" t="str">
            <v/>
          </cell>
        </row>
        <row r="379">
          <cell r="A379" t="str">
            <v/>
          </cell>
        </row>
        <row r="380">
          <cell r="A380" t="str">
            <v/>
          </cell>
        </row>
        <row r="381">
          <cell r="A381" t="str">
            <v/>
          </cell>
        </row>
        <row r="382">
          <cell r="A382" t="str">
            <v/>
          </cell>
        </row>
        <row r="383">
          <cell r="A383" t="str">
            <v/>
          </cell>
        </row>
        <row r="384">
          <cell r="A384" t="str">
            <v/>
          </cell>
        </row>
        <row r="385">
          <cell r="A385" t="str">
            <v/>
          </cell>
        </row>
        <row r="386">
          <cell r="A386" t="str">
            <v/>
          </cell>
        </row>
        <row r="387">
          <cell r="A387" t="str">
            <v/>
          </cell>
        </row>
        <row r="388">
          <cell r="A388" t="str">
            <v/>
          </cell>
        </row>
        <row r="389">
          <cell r="A389" t="str">
            <v/>
          </cell>
        </row>
        <row r="390">
          <cell r="A390" t="str">
            <v/>
          </cell>
        </row>
        <row r="391">
          <cell r="A391" t="str">
            <v/>
          </cell>
        </row>
        <row r="392">
          <cell r="A392" t="str">
            <v/>
          </cell>
        </row>
        <row r="393">
          <cell r="A393" t="str">
            <v/>
          </cell>
        </row>
        <row r="394">
          <cell r="A394" t="str">
            <v/>
          </cell>
        </row>
        <row r="395">
          <cell r="A395" t="str">
            <v/>
          </cell>
        </row>
        <row r="396">
          <cell r="A396" t="str">
            <v/>
          </cell>
        </row>
        <row r="397">
          <cell r="A397" t="str">
            <v/>
          </cell>
        </row>
        <row r="398">
          <cell r="A398" t="str">
            <v/>
          </cell>
        </row>
        <row r="399">
          <cell r="A399" t="str">
            <v/>
          </cell>
        </row>
        <row r="400">
          <cell r="A400" t="str">
            <v/>
          </cell>
        </row>
        <row r="401">
          <cell r="A401" t="str">
            <v/>
          </cell>
        </row>
        <row r="402">
          <cell r="A402" t="str">
            <v/>
          </cell>
        </row>
        <row r="403">
          <cell r="A403" t="str">
            <v/>
          </cell>
        </row>
        <row r="404">
          <cell r="A404" t="str">
            <v/>
          </cell>
        </row>
        <row r="405">
          <cell r="A405" t="str">
            <v/>
          </cell>
        </row>
        <row r="406">
          <cell r="A406" t="str">
            <v/>
          </cell>
        </row>
        <row r="407">
          <cell r="A407" t="str">
            <v/>
          </cell>
        </row>
        <row r="408">
          <cell r="A408" t="str">
            <v/>
          </cell>
        </row>
        <row r="409">
          <cell r="A409" t="str">
            <v/>
          </cell>
        </row>
        <row r="410">
          <cell r="A410" t="str">
            <v/>
          </cell>
        </row>
        <row r="411">
          <cell r="A411" t="str">
            <v/>
          </cell>
        </row>
        <row r="412">
          <cell r="A412" t="str">
            <v/>
          </cell>
        </row>
        <row r="413">
          <cell r="A413" t="str">
            <v/>
          </cell>
        </row>
        <row r="414">
          <cell r="A414" t="str">
            <v/>
          </cell>
        </row>
        <row r="415">
          <cell r="A415" t="str">
            <v/>
          </cell>
        </row>
        <row r="416">
          <cell r="A416" t="str">
            <v/>
          </cell>
        </row>
        <row r="417">
          <cell r="A417" t="str">
            <v/>
          </cell>
        </row>
        <row r="418">
          <cell r="A418" t="str">
            <v/>
          </cell>
        </row>
        <row r="419">
          <cell r="A419" t="str">
            <v/>
          </cell>
        </row>
        <row r="420">
          <cell r="A420" t="str">
            <v/>
          </cell>
        </row>
        <row r="421">
          <cell r="A421" t="str">
            <v/>
          </cell>
        </row>
        <row r="422">
          <cell r="A422" t="str">
            <v/>
          </cell>
        </row>
        <row r="423">
          <cell r="A423" t="str">
            <v/>
          </cell>
        </row>
        <row r="424">
          <cell r="A424" t="str">
            <v/>
          </cell>
        </row>
        <row r="425">
          <cell r="A425" t="str">
            <v/>
          </cell>
        </row>
        <row r="426">
          <cell r="A426" t="str">
            <v/>
          </cell>
        </row>
        <row r="427">
          <cell r="A427" t="str">
            <v/>
          </cell>
        </row>
        <row r="428">
          <cell r="A428" t="str">
            <v/>
          </cell>
        </row>
        <row r="429">
          <cell r="A429" t="str">
            <v/>
          </cell>
        </row>
        <row r="430">
          <cell r="A430" t="str">
            <v/>
          </cell>
        </row>
        <row r="431">
          <cell r="A431" t="str">
            <v/>
          </cell>
        </row>
        <row r="432">
          <cell r="A432" t="str">
            <v/>
          </cell>
        </row>
        <row r="433">
          <cell r="A433" t="str">
            <v/>
          </cell>
        </row>
        <row r="434">
          <cell r="A434" t="str">
            <v/>
          </cell>
        </row>
        <row r="435">
          <cell r="A435" t="str">
            <v/>
          </cell>
        </row>
        <row r="436">
          <cell r="A436" t="str">
            <v/>
          </cell>
        </row>
        <row r="437">
          <cell r="A437" t="str">
            <v/>
          </cell>
        </row>
        <row r="438">
          <cell r="A438" t="str">
            <v/>
          </cell>
        </row>
        <row r="439">
          <cell r="A439" t="str">
            <v/>
          </cell>
        </row>
        <row r="440">
          <cell r="A440" t="str">
            <v/>
          </cell>
        </row>
        <row r="441">
          <cell r="A441" t="str">
            <v/>
          </cell>
        </row>
        <row r="442">
          <cell r="A442" t="str">
            <v/>
          </cell>
        </row>
        <row r="443">
          <cell r="A443" t="str">
            <v/>
          </cell>
        </row>
        <row r="444">
          <cell r="A444" t="str">
            <v/>
          </cell>
        </row>
        <row r="445">
          <cell r="A445" t="str">
            <v/>
          </cell>
        </row>
        <row r="446">
          <cell r="A446" t="str">
            <v/>
          </cell>
        </row>
        <row r="447">
          <cell r="A447" t="str">
            <v/>
          </cell>
        </row>
        <row r="448">
          <cell r="A448" t="str">
            <v/>
          </cell>
        </row>
        <row r="449">
          <cell r="A449" t="str">
            <v/>
          </cell>
        </row>
        <row r="450">
          <cell r="A450" t="str">
            <v/>
          </cell>
        </row>
        <row r="451">
          <cell r="A451" t="str">
            <v/>
          </cell>
        </row>
        <row r="452">
          <cell r="A452" t="str">
            <v/>
          </cell>
        </row>
        <row r="453">
          <cell r="A453" t="str">
            <v/>
          </cell>
        </row>
        <row r="454">
          <cell r="A454" t="str">
            <v/>
          </cell>
        </row>
        <row r="455">
          <cell r="A455" t="str">
            <v/>
          </cell>
        </row>
        <row r="456">
          <cell r="A456" t="str">
            <v/>
          </cell>
        </row>
        <row r="457">
          <cell r="A457" t="str">
            <v/>
          </cell>
        </row>
        <row r="458">
          <cell r="A458" t="str">
            <v/>
          </cell>
        </row>
        <row r="459">
          <cell r="A459" t="str">
            <v/>
          </cell>
        </row>
        <row r="460">
          <cell r="A460" t="str">
            <v/>
          </cell>
        </row>
        <row r="461">
          <cell r="A461" t="str">
            <v/>
          </cell>
        </row>
        <row r="462">
          <cell r="A462" t="str">
            <v/>
          </cell>
        </row>
        <row r="463">
          <cell r="A463" t="str">
            <v/>
          </cell>
        </row>
        <row r="464">
          <cell r="A464" t="str">
            <v/>
          </cell>
        </row>
        <row r="465">
          <cell r="A465" t="str">
            <v/>
          </cell>
        </row>
        <row r="466">
          <cell r="A466" t="str">
            <v/>
          </cell>
        </row>
        <row r="467">
          <cell r="A467" t="str">
            <v/>
          </cell>
        </row>
        <row r="468">
          <cell r="A468" t="str">
            <v/>
          </cell>
        </row>
        <row r="469">
          <cell r="A469" t="str">
            <v/>
          </cell>
        </row>
        <row r="470">
          <cell r="A470" t="str">
            <v/>
          </cell>
        </row>
        <row r="471">
          <cell r="A471" t="str">
            <v/>
          </cell>
        </row>
        <row r="472">
          <cell r="A472" t="str">
            <v/>
          </cell>
        </row>
        <row r="473">
          <cell r="A473" t="str">
            <v/>
          </cell>
        </row>
        <row r="474">
          <cell r="A474" t="str">
            <v/>
          </cell>
        </row>
        <row r="475">
          <cell r="A475" t="str">
            <v/>
          </cell>
        </row>
        <row r="476">
          <cell r="A476" t="str">
            <v/>
          </cell>
        </row>
        <row r="477">
          <cell r="A477" t="str">
            <v/>
          </cell>
        </row>
        <row r="478">
          <cell r="A478" t="str">
            <v/>
          </cell>
        </row>
        <row r="479">
          <cell r="A479" t="str">
            <v/>
          </cell>
        </row>
        <row r="480">
          <cell r="A480" t="str">
            <v/>
          </cell>
        </row>
        <row r="481">
          <cell r="A481" t="str">
            <v/>
          </cell>
        </row>
        <row r="482">
          <cell r="A482" t="str">
            <v/>
          </cell>
        </row>
        <row r="483">
          <cell r="A483" t="str">
            <v/>
          </cell>
        </row>
        <row r="484">
          <cell r="A484" t="str">
            <v/>
          </cell>
        </row>
        <row r="485">
          <cell r="A485" t="str">
            <v/>
          </cell>
        </row>
        <row r="486">
          <cell r="A486" t="str">
            <v/>
          </cell>
        </row>
        <row r="487">
          <cell r="A487" t="str">
            <v/>
          </cell>
        </row>
        <row r="488">
          <cell r="A488" t="str">
            <v/>
          </cell>
        </row>
        <row r="489">
          <cell r="A489" t="str">
            <v/>
          </cell>
        </row>
        <row r="490">
          <cell r="A490" t="str">
            <v/>
          </cell>
        </row>
        <row r="491">
          <cell r="A491" t="str">
            <v/>
          </cell>
        </row>
        <row r="492">
          <cell r="A492" t="str">
            <v/>
          </cell>
        </row>
        <row r="493">
          <cell r="A493" t="str">
            <v/>
          </cell>
        </row>
        <row r="494">
          <cell r="A494" t="str">
            <v/>
          </cell>
        </row>
        <row r="495">
          <cell r="A495" t="str">
            <v/>
          </cell>
        </row>
        <row r="496">
          <cell r="A496" t="str">
            <v/>
          </cell>
        </row>
        <row r="497">
          <cell r="A497" t="str">
            <v/>
          </cell>
        </row>
        <row r="498">
          <cell r="A498" t="str">
            <v/>
          </cell>
        </row>
        <row r="499">
          <cell r="A499" t="str">
            <v/>
          </cell>
        </row>
        <row r="500">
          <cell r="A500" t="str">
            <v/>
          </cell>
        </row>
        <row r="501">
          <cell r="A501" t="str">
            <v/>
          </cell>
        </row>
        <row r="502">
          <cell r="A502" t="str">
            <v/>
          </cell>
        </row>
        <row r="503">
          <cell r="A503" t="str">
            <v/>
          </cell>
        </row>
        <row r="504">
          <cell r="A504" t="str">
            <v/>
          </cell>
        </row>
        <row r="505">
          <cell r="A505" t="str">
            <v/>
          </cell>
        </row>
        <row r="506">
          <cell r="A506" t="str">
            <v/>
          </cell>
        </row>
        <row r="507">
          <cell r="A507" t="str">
            <v/>
          </cell>
        </row>
        <row r="508">
          <cell r="A508" t="str">
            <v/>
          </cell>
        </row>
        <row r="509">
          <cell r="A509" t="str">
            <v/>
          </cell>
        </row>
        <row r="510">
          <cell r="A510" t="str">
            <v/>
          </cell>
        </row>
        <row r="511">
          <cell r="A511" t="str">
            <v/>
          </cell>
        </row>
        <row r="512">
          <cell r="A512" t="str">
            <v/>
          </cell>
        </row>
        <row r="513">
          <cell r="A513" t="str">
            <v/>
          </cell>
        </row>
        <row r="514">
          <cell r="A514" t="str">
            <v/>
          </cell>
        </row>
        <row r="515">
          <cell r="A515" t="str">
            <v/>
          </cell>
        </row>
        <row r="516">
          <cell r="A516" t="str">
            <v/>
          </cell>
        </row>
        <row r="517">
          <cell r="A517" t="str">
            <v/>
          </cell>
        </row>
        <row r="518">
          <cell r="A518" t="str">
            <v/>
          </cell>
        </row>
        <row r="519">
          <cell r="A519" t="str">
            <v/>
          </cell>
        </row>
        <row r="520">
          <cell r="A520" t="str">
            <v/>
          </cell>
        </row>
        <row r="521">
          <cell r="A521" t="str">
            <v/>
          </cell>
        </row>
        <row r="522">
          <cell r="A522" t="str">
            <v/>
          </cell>
        </row>
        <row r="523">
          <cell r="A523" t="str">
            <v/>
          </cell>
        </row>
        <row r="524">
          <cell r="A524" t="str">
            <v/>
          </cell>
        </row>
        <row r="525">
          <cell r="A525" t="str">
            <v/>
          </cell>
        </row>
        <row r="526">
          <cell r="A526" t="str">
            <v/>
          </cell>
        </row>
        <row r="527">
          <cell r="A527" t="str">
            <v/>
          </cell>
        </row>
        <row r="528">
          <cell r="A528" t="str">
            <v/>
          </cell>
        </row>
        <row r="529">
          <cell r="A529" t="str">
            <v/>
          </cell>
        </row>
        <row r="530">
          <cell r="A530" t="str">
            <v/>
          </cell>
        </row>
        <row r="531">
          <cell r="A531" t="str">
            <v/>
          </cell>
        </row>
        <row r="532">
          <cell r="A532" t="str">
            <v/>
          </cell>
        </row>
        <row r="533">
          <cell r="A533" t="str">
            <v/>
          </cell>
        </row>
        <row r="534">
          <cell r="A534" t="str">
            <v/>
          </cell>
        </row>
        <row r="535">
          <cell r="A535" t="str">
            <v/>
          </cell>
        </row>
        <row r="536">
          <cell r="A536" t="str">
            <v/>
          </cell>
        </row>
        <row r="537">
          <cell r="A537" t="str">
            <v/>
          </cell>
        </row>
        <row r="538">
          <cell r="A538" t="str">
            <v/>
          </cell>
        </row>
        <row r="539">
          <cell r="A539" t="str">
            <v/>
          </cell>
        </row>
        <row r="540">
          <cell r="A540" t="str">
            <v/>
          </cell>
        </row>
        <row r="541">
          <cell r="A541" t="str">
            <v/>
          </cell>
        </row>
        <row r="542">
          <cell r="A542" t="str">
            <v/>
          </cell>
        </row>
        <row r="543">
          <cell r="A543" t="str">
            <v/>
          </cell>
        </row>
        <row r="544">
          <cell r="A544" t="str">
            <v/>
          </cell>
        </row>
        <row r="545">
          <cell r="A545" t="str">
            <v/>
          </cell>
        </row>
        <row r="546">
          <cell r="A546" t="str">
            <v/>
          </cell>
        </row>
        <row r="547">
          <cell r="A547" t="str">
            <v/>
          </cell>
        </row>
        <row r="548">
          <cell r="A548" t="str">
            <v/>
          </cell>
        </row>
        <row r="549">
          <cell r="A549" t="str">
            <v/>
          </cell>
        </row>
        <row r="550">
          <cell r="A550" t="str">
            <v/>
          </cell>
        </row>
        <row r="551">
          <cell r="A551" t="str">
            <v/>
          </cell>
        </row>
        <row r="552">
          <cell r="A552" t="str">
            <v/>
          </cell>
        </row>
        <row r="553">
          <cell r="A553" t="str">
            <v/>
          </cell>
        </row>
        <row r="554">
          <cell r="A554" t="str">
            <v/>
          </cell>
        </row>
        <row r="555">
          <cell r="A555" t="str">
            <v/>
          </cell>
        </row>
        <row r="556">
          <cell r="A556" t="str">
            <v/>
          </cell>
        </row>
        <row r="557">
          <cell r="A557" t="str">
            <v/>
          </cell>
        </row>
        <row r="558">
          <cell r="A558" t="str">
            <v/>
          </cell>
        </row>
        <row r="559">
          <cell r="A559" t="str">
            <v/>
          </cell>
        </row>
        <row r="560">
          <cell r="A560" t="str">
            <v/>
          </cell>
        </row>
        <row r="561">
          <cell r="A561" t="str">
            <v/>
          </cell>
        </row>
        <row r="562">
          <cell r="A562" t="str">
            <v/>
          </cell>
        </row>
        <row r="563">
          <cell r="A563" t="str">
            <v/>
          </cell>
        </row>
        <row r="564">
          <cell r="A564" t="str">
            <v/>
          </cell>
        </row>
        <row r="565">
          <cell r="A565" t="str">
            <v/>
          </cell>
        </row>
        <row r="566">
          <cell r="A566" t="str">
            <v/>
          </cell>
        </row>
        <row r="567">
          <cell r="A567" t="str">
            <v/>
          </cell>
        </row>
        <row r="568">
          <cell r="A568" t="str">
            <v/>
          </cell>
        </row>
        <row r="569">
          <cell r="A569" t="str">
            <v/>
          </cell>
        </row>
        <row r="570">
          <cell r="A570" t="str">
            <v/>
          </cell>
        </row>
        <row r="571">
          <cell r="A571" t="str">
            <v/>
          </cell>
        </row>
        <row r="572">
          <cell r="A572" t="str">
            <v/>
          </cell>
        </row>
        <row r="573">
          <cell r="A573" t="str">
            <v/>
          </cell>
        </row>
        <row r="574">
          <cell r="A574" t="str">
            <v/>
          </cell>
        </row>
        <row r="575">
          <cell r="A575" t="str">
            <v/>
          </cell>
        </row>
        <row r="576">
          <cell r="A576" t="str">
            <v/>
          </cell>
        </row>
        <row r="577">
          <cell r="A577" t="str">
            <v/>
          </cell>
        </row>
        <row r="578">
          <cell r="A578" t="str">
            <v/>
          </cell>
        </row>
        <row r="579">
          <cell r="A579" t="str">
            <v/>
          </cell>
        </row>
        <row r="580">
          <cell r="A580" t="str">
            <v/>
          </cell>
        </row>
        <row r="581">
          <cell r="A581" t="str">
            <v/>
          </cell>
        </row>
        <row r="582">
          <cell r="A582" t="str">
            <v/>
          </cell>
        </row>
        <row r="583">
          <cell r="A583" t="str">
            <v/>
          </cell>
        </row>
        <row r="584">
          <cell r="A584" t="str">
            <v/>
          </cell>
        </row>
        <row r="585">
          <cell r="A585" t="str">
            <v/>
          </cell>
        </row>
        <row r="586">
          <cell r="A586" t="str">
            <v/>
          </cell>
        </row>
        <row r="587">
          <cell r="A587" t="str">
            <v/>
          </cell>
        </row>
        <row r="588">
          <cell r="A588" t="str">
            <v/>
          </cell>
        </row>
        <row r="589">
          <cell r="A589" t="str">
            <v/>
          </cell>
        </row>
        <row r="590">
          <cell r="A590" t="str">
            <v/>
          </cell>
        </row>
        <row r="591">
          <cell r="A591" t="str">
            <v/>
          </cell>
        </row>
        <row r="592">
          <cell r="A592" t="str">
            <v/>
          </cell>
        </row>
        <row r="593">
          <cell r="A593" t="str">
            <v/>
          </cell>
        </row>
        <row r="594">
          <cell r="A594" t="str">
            <v/>
          </cell>
        </row>
        <row r="595">
          <cell r="A595" t="str">
            <v/>
          </cell>
        </row>
        <row r="596">
          <cell r="A596" t="str">
            <v/>
          </cell>
        </row>
        <row r="597">
          <cell r="A597" t="str">
            <v/>
          </cell>
        </row>
        <row r="598">
          <cell r="A598" t="str">
            <v/>
          </cell>
        </row>
        <row r="599">
          <cell r="A599" t="str">
            <v/>
          </cell>
        </row>
        <row r="600">
          <cell r="A600" t="str">
            <v/>
          </cell>
        </row>
        <row r="601">
          <cell r="A601" t="str">
            <v/>
          </cell>
        </row>
        <row r="602">
          <cell r="A602" t="str">
            <v/>
          </cell>
        </row>
        <row r="603">
          <cell r="A603" t="str">
            <v/>
          </cell>
        </row>
        <row r="604">
          <cell r="A604" t="str">
            <v/>
          </cell>
        </row>
        <row r="605">
          <cell r="A605" t="str">
            <v/>
          </cell>
        </row>
        <row r="606">
          <cell r="A606" t="str">
            <v/>
          </cell>
        </row>
        <row r="607">
          <cell r="A607" t="str">
            <v/>
          </cell>
        </row>
        <row r="608">
          <cell r="A608" t="str">
            <v/>
          </cell>
        </row>
        <row r="609">
          <cell r="A609" t="str">
            <v/>
          </cell>
        </row>
        <row r="610">
          <cell r="A610" t="str">
            <v/>
          </cell>
        </row>
        <row r="611">
          <cell r="A611" t="str">
            <v/>
          </cell>
        </row>
        <row r="612">
          <cell r="A612" t="str">
            <v/>
          </cell>
        </row>
        <row r="613">
          <cell r="A613" t="str">
            <v/>
          </cell>
        </row>
        <row r="614">
          <cell r="A614" t="str">
            <v/>
          </cell>
        </row>
        <row r="615">
          <cell r="A615" t="str">
            <v/>
          </cell>
        </row>
        <row r="616">
          <cell r="A616" t="str">
            <v/>
          </cell>
        </row>
        <row r="617">
          <cell r="A617" t="str">
            <v/>
          </cell>
        </row>
        <row r="618">
          <cell r="A618" t="str">
            <v/>
          </cell>
        </row>
        <row r="619">
          <cell r="A619" t="str">
            <v/>
          </cell>
        </row>
        <row r="620">
          <cell r="A620" t="str">
            <v/>
          </cell>
        </row>
        <row r="621">
          <cell r="A621" t="str">
            <v/>
          </cell>
        </row>
        <row r="622">
          <cell r="A622" t="str">
            <v/>
          </cell>
        </row>
        <row r="623">
          <cell r="A623" t="str">
            <v/>
          </cell>
        </row>
        <row r="624">
          <cell r="A624" t="str">
            <v/>
          </cell>
        </row>
        <row r="625">
          <cell r="A625" t="str">
            <v/>
          </cell>
        </row>
        <row r="626">
          <cell r="A626" t="str">
            <v/>
          </cell>
        </row>
        <row r="627">
          <cell r="A627" t="str">
            <v/>
          </cell>
        </row>
        <row r="628">
          <cell r="A628" t="str">
            <v/>
          </cell>
        </row>
        <row r="629">
          <cell r="A629" t="str">
            <v/>
          </cell>
        </row>
        <row r="630">
          <cell r="A630" t="str">
            <v/>
          </cell>
        </row>
        <row r="631">
          <cell r="A631" t="str">
            <v/>
          </cell>
        </row>
        <row r="632">
          <cell r="A632" t="str">
            <v/>
          </cell>
        </row>
        <row r="633">
          <cell r="A633" t="str">
            <v/>
          </cell>
        </row>
        <row r="634">
          <cell r="A634" t="str">
            <v/>
          </cell>
        </row>
        <row r="635">
          <cell r="A635" t="str">
            <v/>
          </cell>
        </row>
        <row r="636">
          <cell r="A636" t="str">
            <v/>
          </cell>
        </row>
        <row r="637">
          <cell r="A637" t="str">
            <v/>
          </cell>
        </row>
        <row r="638">
          <cell r="A638" t="str">
            <v/>
          </cell>
        </row>
        <row r="639">
          <cell r="A639" t="str">
            <v/>
          </cell>
        </row>
        <row r="640">
          <cell r="A640" t="str">
            <v/>
          </cell>
        </row>
        <row r="641">
          <cell r="A641" t="str">
            <v/>
          </cell>
        </row>
        <row r="642">
          <cell r="A642" t="str">
            <v/>
          </cell>
        </row>
        <row r="643">
          <cell r="A643" t="str">
            <v/>
          </cell>
        </row>
        <row r="644">
          <cell r="A644" t="str">
            <v/>
          </cell>
        </row>
        <row r="645">
          <cell r="A645" t="str">
            <v/>
          </cell>
        </row>
        <row r="646">
          <cell r="A646" t="str">
            <v/>
          </cell>
        </row>
        <row r="647">
          <cell r="A647" t="str">
            <v/>
          </cell>
        </row>
        <row r="648">
          <cell r="A648" t="str">
            <v/>
          </cell>
        </row>
        <row r="649">
          <cell r="A649" t="str">
            <v/>
          </cell>
        </row>
        <row r="650">
          <cell r="A650" t="str">
            <v/>
          </cell>
        </row>
        <row r="651">
          <cell r="A651" t="str">
            <v/>
          </cell>
        </row>
        <row r="652">
          <cell r="A652" t="str">
            <v/>
          </cell>
        </row>
        <row r="653">
          <cell r="A653" t="str">
            <v/>
          </cell>
        </row>
        <row r="654">
          <cell r="A654" t="str">
            <v/>
          </cell>
        </row>
        <row r="655">
          <cell r="A655" t="str">
            <v/>
          </cell>
        </row>
        <row r="656">
          <cell r="A656" t="str">
            <v/>
          </cell>
        </row>
        <row r="657">
          <cell r="A657" t="str">
            <v/>
          </cell>
        </row>
        <row r="658">
          <cell r="A658" t="str">
            <v/>
          </cell>
        </row>
        <row r="659">
          <cell r="A659" t="str">
            <v/>
          </cell>
        </row>
        <row r="660">
          <cell r="A660" t="str">
            <v/>
          </cell>
        </row>
        <row r="661">
          <cell r="A661" t="str">
            <v/>
          </cell>
        </row>
        <row r="662">
          <cell r="A662" t="str">
            <v/>
          </cell>
        </row>
        <row r="663">
          <cell r="A663" t="str">
            <v/>
          </cell>
        </row>
        <row r="664">
          <cell r="A664" t="str">
            <v/>
          </cell>
        </row>
        <row r="665">
          <cell r="A665" t="str">
            <v/>
          </cell>
        </row>
        <row r="666">
          <cell r="A666" t="str">
            <v/>
          </cell>
        </row>
        <row r="667">
          <cell r="A667" t="str">
            <v/>
          </cell>
        </row>
        <row r="668">
          <cell r="A668" t="str">
            <v/>
          </cell>
        </row>
        <row r="669">
          <cell r="A669" t="str">
            <v/>
          </cell>
        </row>
        <row r="670">
          <cell r="A670" t="str">
            <v/>
          </cell>
        </row>
        <row r="671">
          <cell r="A671" t="str">
            <v/>
          </cell>
        </row>
        <row r="672">
          <cell r="A672" t="str">
            <v/>
          </cell>
        </row>
        <row r="673">
          <cell r="A673" t="str">
            <v/>
          </cell>
        </row>
        <row r="674">
          <cell r="A674" t="str">
            <v/>
          </cell>
        </row>
        <row r="675">
          <cell r="A675" t="str">
            <v/>
          </cell>
        </row>
        <row r="676">
          <cell r="A676" t="str">
            <v/>
          </cell>
        </row>
        <row r="677">
          <cell r="A677" t="str">
            <v/>
          </cell>
        </row>
        <row r="678">
          <cell r="A678" t="str">
            <v/>
          </cell>
        </row>
        <row r="679">
          <cell r="A679" t="str">
            <v/>
          </cell>
        </row>
        <row r="680">
          <cell r="A680" t="str">
            <v/>
          </cell>
        </row>
        <row r="681">
          <cell r="A681" t="str">
            <v/>
          </cell>
        </row>
        <row r="682">
          <cell r="A682" t="str">
            <v/>
          </cell>
        </row>
        <row r="683">
          <cell r="A683" t="str">
            <v/>
          </cell>
        </row>
        <row r="684">
          <cell r="A684" t="str">
            <v/>
          </cell>
        </row>
        <row r="685">
          <cell r="A685" t="str">
            <v/>
          </cell>
        </row>
        <row r="686">
          <cell r="A686" t="str">
            <v/>
          </cell>
        </row>
        <row r="687">
          <cell r="A687" t="str">
            <v/>
          </cell>
        </row>
        <row r="688">
          <cell r="A688" t="str">
            <v/>
          </cell>
        </row>
        <row r="689">
          <cell r="A689" t="str">
            <v/>
          </cell>
        </row>
        <row r="690">
          <cell r="A690" t="str">
            <v/>
          </cell>
        </row>
        <row r="691">
          <cell r="A691" t="str">
            <v/>
          </cell>
        </row>
        <row r="692">
          <cell r="A692" t="str">
            <v/>
          </cell>
        </row>
        <row r="693">
          <cell r="A693" t="str">
            <v/>
          </cell>
        </row>
        <row r="694">
          <cell r="A694" t="str">
            <v/>
          </cell>
        </row>
        <row r="695">
          <cell r="A695" t="str">
            <v/>
          </cell>
        </row>
        <row r="696">
          <cell r="A696" t="str">
            <v/>
          </cell>
        </row>
        <row r="697">
          <cell r="A697" t="str">
            <v/>
          </cell>
        </row>
        <row r="698">
          <cell r="A698" t="str">
            <v/>
          </cell>
        </row>
        <row r="699">
          <cell r="A699" t="str">
            <v/>
          </cell>
        </row>
        <row r="700">
          <cell r="A700" t="str">
            <v/>
          </cell>
        </row>
        <row r="701">
          <cell r="A701" t="str">
            <v/>
          </cell>
        </row>
        <row r="702">
          <cell r="A702" t="str">
            <v/>
          </cell>
        </row>
        <row r="703">
          <cell r="A703" t="str">
            <v/>
          </cell>
        </row>
        <row r="704">
          <cell r="A704" t="str">
            <v/>
          </cell>
        </row>
        <row r="705">
          <cell r="A705" t="str">
            <v/>
          </cell>
        </row>
        <row r="706">
          <cell r="A706" t="str">
            <v/>
          </cell>
        </row>
        <row r="707">
          <cell r="A707" t="str">
            <v/>
          </cell>
        </row>
        <row r="708">
          <cell r="A708" t="str">
            <v/>
          </cell>
        </row>
        <row r="709">
          <cell r="A709" t="str">
            <v/>
          </cell>
        </row>
        <row r="710">
          <cell r="A710" t="str">
            <v/>
          </cell>
        </row>
        <row r="711">
          <cell r="A711" t="str">
            <v/>
          </cell>
        </row>
        <row r="712">
          <cell r="A712" t="str">
            <v/>
          </cell>
        </row>
        <row r="713">
          <cell r="A713" t="str">
            <v/>
          </cell>
        </row>
        <row r="714">
          <cell r="A714" t="str">
            <v/>
          </cell>
        </row>
        <row r="715">
          <cell r="A715" t="str">
            <v/>
          </cell>
        </row>
        <row r="716">
          <cell r="A716" t="str">
            <v/>
          </cell>
        </row>
        <row r="717">
          <cell r="A717" t="str">
            <v/>
          </cell>
        </row>
        <row r="718">
          <cell r="A718" t="str">
            <v/>
          </cell>
        </row>
        <row r="719">
          <cell r="A719" t="str">
            <v/>
          </cell>
        </row>
        <row r="720">
          <cell r="A720" t="str">
            <v/>
          </cell>
        </row>
        <row r="721">
          <cell r="A721" t="str">
            <v/>
          </cell>
        </row>
        <row r="722">
          <cell r="A722" t="str">
            <v/>
          </cell>
        </row>
        <row r="723">
          <cell r="A723" t="str">
            <v/>
          </cell>
        </row>
        <row r="724">
          <cell r="A724" t="str">
            <v/>
          </cell>
        </row>
        <row r="725">
          <cell r="A725" t="str">
            <v/>
          </cell>
        </row>
        <row r="726">
          <cell r="A726" t="str">
            <v/>
          </cell>
        </row>
        <row r="727">
          <cell r="A727" t="str">
            <v/>
          </cell>
        </row>
        <row r="728">
          <cell r="A728" t="str">
            <v/>
          </cell>
        </row>
        <row r="729">
          <cell r="A729" t="str">
            <v/>
          </cell>
        </row>
        <row r="730">
          <cell r="A730" t="str">
            <v/>
          </cell>
        </row>
        <row r="731">
          <cell r="A731" t="str">
            <v/>
          </cell>
        </row>
        <row r="732">
          <cell r="A732" t="str">
            <v/>
          </cell>
        </row>
        <row r="733">
          <cell r="A733" t="str">
            <v/>
          </cell>
        </row>
        <row r="734">
          <cell r="A734" t="str">
            <v/>
          </cell>
        </row>
        <row r="735">
          <cell r="A735" t="str">
            <v/>
          </cell>
        </row>
        <row r="736">
          <cell r="A736" t="str">
            <v/>
          </cell>
        </row>
        <row r="737">
          <cell r="A737" t="str">
            <v/>
          </cell>
        </row>
        <row r="738">
          <cell r="A738" t="str">
            <v/>
          </cell>
        </row>
        <row r="739">
          <cell r="A739" t="str">
            <v/>
          </cell>
        </row>
        <row r="740">
          <cell r="A740" t="str">
            <v/>
          </cell>
        </row>
        <row r="741">
          <cell r="A741" t="str">
            <v/>
          </cell>
        </row>
        <row r="742">
          <cell r="A742" t="str">
            <v/>
          </cell>
        </row>
        <row r="743">
          <cell r="A743" t="str">
            <v/>
          </cell>
        </row>
        <row r="744">
          <cell r="A744" t="str">
            <v/>
          </cell>
        </row>
        <row r="745">
          <cell r="A745" t="str">
            <v/>
          </cell>
        </row>
        <row r="746">
          <cell r="A746" t="str">
            <v/>
          </cell>
        </row>
        <row r="747">
          <cell r="A747" t="str">
            <v/>
          </cell>
        </row>
        <row r="748">
          <cell r="A748" t="str">
            <v/>
          </cell>
        </row>
        <row r="749">
          <cell r="A749" t="str">
            <v/>
          </cell>
        </row>
        <row r="750">
          <cell r="A750" t="str">
            <v/>
          </cell>
        </row>
        <row r="751">
          <cell r="A751" t="str">
            <v/>
          </cell>
        </row>
        <row r="752">
          <cell r="A752" t="str">
            <v/>
          </cell>
        </row>
        <row r="753">
          <cell r="A753" t="str">
            <v/>
          </cell>
        </row>
        <row r="754">
          <cell r="A754" t="str">
            <v/>
          </cell>
        </row>
        <row r="755">
          <cell r="A755" t="str">
            <v/>
          </cell>
        </row>
        <row r="756">
          <cell r="A756" t="str">
            <v/>
          </cell>
        </row>
        <row r="757">
          <cell r="A757" t="str">
            <v/>
          </cell>
        </row>
        <row r="758">
          <cell r="A758" t="str">
            <v/>
          </cell>
        </row>
        <row r="759">
          <cell r="A759" t="str">
            <v/>
          </cell>
        </row>
        <row r="760">
          <cell r="A760" t="str">
            <v/>
          </cell>
        </row>
        <row r="761">
          <cell r="A761" t="str">
            <v/>
          </cell>
        </row>
        <row r="762">
          <cell r="A762" t="str">
            <v/>
          </cell>
        </row>
        <row r="763">
          <cell r="A763" t="str">
            <v/>
          </cell>
        </row>
        <row r="764">
          <cell r="A764" t="str">
            <v/>
          </cell>
        </row>
        <row r="765">
          <cell r="A765" t="str">
            <v/>
          </cell>
        </row>
        <row r="766">
          <cell r="A766" t="str">
            <v/>
          </cell>
        </row>
        <row r="767">
          <cell r="A767" t="str">
            <v/>
          </cell>
        </row>
        <row r="768">
          <cell r="A768" t="str">
            <v/>
          </cell>
        </row>
        <row r="769">
          <cell r="A769" t="str">
            <v/>
          </cell>
        </row>
        <row r="770">
          <cell r="A770" t="str">
            <v/>
          </cell>
        </row>
        <row r="771">
          <cell r="A771" t="str">
            <v/>
          </cell>
        </row>
        <row r="772">
          <cell r="A772" t="str">
            <v/>
          </cell>
        </row>
        <row r="773">
          <cell r="A773" t="str">
            <v/>
          </cell>
        </row>
        <row r="774">
          <cell r="A774" t="str">
            <v/>
          </cell>
        </row>
        <row r="775">
          <cell r="A775" t="str">
            <v/>
          </cell>
        </row>
        <row r="776">
          <cell r="A776" t="str">
            <v/>
          </cell>
        </row>
        <row r="777">
          <cell r="A777" t="str">
            <v/>
          </cell>
        </row>
        <row r="778">
          <cell r="A778" t="str">
            <v/>
          </cell>
        </row>
        <row r="779">
          <cell r="A779" t="str">
            <v/>
          </cell>
        </row>
        <row r="780">
          <cell r="A780" t="str">
            <v/>
          </cell>
        </row>
        <row r="781">
          <cell r="A781" t="str">
            <v/>
          </cell>
        </row>
        <row r="782">
          <cell r="A782" t="str">
            <v/>
          </cell>
        </row>
        <row r="783">
          <cell r="A783" t="str">
            <v/>
          </cell>
        </row>
        <row r="784">
          <cell r="A784" t="str">
            <v/>
          </cell>
        </row>
        <row r="785">
          <cell r="A785" t="str">
            <v/>
          </cell>
        </row>
        <row r="786">
          <cell r="A786" t="str">
            <v/>
          </cell>
        </row>
        <row r="787">
          <cell r="A787" t="str">
            <v/>
          </cell>
        </row>
        <row r="788">
          <cell r="A788" t="str">
            <v/>
          </cell>
        </row>
        <row r="789">
          <cell r="A789" t="str">
            <v/>
          </cell>
        </row>
        <row r="790">
          <cell r="A790" t="str">
            <v/>
          </cell>
        </row>
        <row r="791">
          <cell r="A791" t="str">
            <v/>
          </cell>
        </row>
        <row r="792">
          <cell r="A792" t="str">
            <v/>
          </cell>
        </row>
        <row r="793">
          <cell r="A793" t="str">
            <v/>
          </cell>
        </row>
        <row r="794">
          <cell r="A794" t="str">
            <v/>
          </cell>
        </row>
        <row r="795">
          <cell r="A795" t="str">
            <v/>
          </cell>
        </row>
        <row r="796">
          <cell r="A796" t="str">
            <v/>
          </cell>
        </row>
        <row r="797">
          <cell r="A797" t="str">
            <v/>
          </cell>
        </row>
        <row r="798">
          <cell r="A798" t="str">
            <v/>
          </cell>
        </row>
        <row r="799">
          <cell r="A799" t="str">
            <v/>
          </cell>
        </row>
        <row r="800">
          <cell r="A800" t="str">
            <v/>
          </cell>
        </row>
        <row r="801">
          <cell r="A801" t="str">
            <v/>
          </cell>
        </row>
        <row r="802">
          <cell r="A802" t="str">
            <v/>
          </cell>
        </row>
        <row r="803">
          <cell r="A803" t="str">
            <v/>
          </cell>
        </row>
        <row r="804">
          <cell r="A804" t="str">
            <v/>
          </cell>
        </row>
        <row r="805">
          <cell r="A805" t="str">
            <v/>
          </cell>
        </row>
        <row r="806">
          <cell r="A806" t="str">
            <v/>
          </cell>
        </row>
        <row r="807">
          <cell r="A807" t="str">
            <v/>
          </cell>
        </row>
        <row r="808">
          <cell r="A808" t="str">
            <v/>
          </cell>
        </row>
        <row r="809">
          <cell r="A809" t="str">
            <v/>
          </cell>
        </row>
        <row r="810">
          <cell r="A810" t="str">
            <v/>
          </cell>
        </row>
        <row r="811">
          <cell r="A811" t="str">
            <v/>
          </cell>
        </row>
        <row r="812">
          <cell r="A812" t="str">
            <v/>
          </cell>
        </row>
        <row r="813">
          <cell r="A813" t="str">
            <v/>
          </cell>
        </row>
        <row r="814">
          <cell r="A814" t="str">
            <v/>
          </cell>
        </row>
        <row r="815">
          <cell r="A815" t="str">
            <v/>
          </cell>
        </row>
        <row r="816">
          <cell r="A816" t="str">
            <v/>
          </cell>
        </row>
        <row r="817">
          <cell r="A817" t="str">
            <v/>
          </cell>
        </row>
        <row r="818">
          <cell r="A818" t="str">
            <v/>
          </cell>
        </row>
        <row r="819">
          <cell r="A819" t="str">
            <v/>
          </cell>
        </row>
        <row r="820">
          <cell r="A820" t="str">
            <v/>
          </cell>
        </row>
        <row r="821">
          <cell r="A821" t="str">
            <v/>
          </cell>
        </row>
        <row r="822">
          <cell r="A822" t="str">
            <v/>
          </cell>
        </row>
        <row r="823">
          <cell r="A823" t="str">
            <v/>
          </cell>
        </row>
        <row r="824">
          <cell r="A824" t="str">
            <v/>
          </cell>
        </row>
        <row r="825">
          <cell r="A825" t="str">
            <v/>
          </cell>
        </row>
        <row r="826">
          <cell r="A826" t="str">
            <v/>
          </cell>
        </row>
        <row r="827">
          <cell r="A827" t="str">
            <v/>
          </cell>
        </row>
        <row r="828">
          <cell r="A828" t="str">
            <v/>
          </cell>
        </row>
        <row r="829">
          <cell r="A829" t="str">
            <v/>
          </cell>
        </row>
        <row r="830">
          <cell r="A830" t="str">
            <v/>
          </cell>
        </row>
        <row r="831">
          <cell r="A831" t="str">
            <v/>
          </cell>
        </row>
        <row r="832">
          <cell r="A832" t="str">
            <v/>
          </cell>
        </row>
        <row r="833">
          <cell r="A833" t="str">
            <v/>
          </cell>
        </row>
        <row r="834">
          <cell r="A834" t="str">
            <v/>
          </cell>
        </row>
        <row r="835">
          <cell r="A835" t="str">
            <v/>
          </cell>
        </row>
        <row r="836">
          <cell r="A836" t="str">
            <v/>
          </cell>
        </row>
        <row r="837">
          <cell r="A837" t="str">
            <v/>
          </cell>
        </row>
        <row r="838">
          <cell r="A838" t="str">
            <v/>
          </cell>
        </row>
        <row r="839">
          <cell r="A839" t="str">
            <v/>
          </cell>
        </row>
        <row r="840">
          <cell r="A840" t="str">
            <v/>
          </cell>
        </row>
        <row r="841">
          <cell r="A841" t="str">
            <v/>
          </cell>
        </row>
        <row r="842">
          <cell r="A842" t="str">
            <v/>
          </cell>
        </row>
        <row r="843">
          <cell r="A843" t="str">
            <v/>
          </cell>
        </row>
        <row r="844">
          <cell r="A844" t="str">
            <v/>
          </cell>
        </row>
        <row r="845">
          <cell r="A845" t="str">
            <v/>
          </cell>
        </row>
        <row r="846">
          <cell r="A846" t="str">
            <v/>
          </cell>
        </row>
        <row r="847">
          <cell r="A847" t="str">
            <v/>
          </cell>
        </row>
        <row r="848">
          <cell r="A848" t="str">
            <v/>
          </cell>
        </row>
        <row r="849">
          <cell r="A849" t="str">
            <v/>
          </cell>
        </row>
        <row r="850">
          <cell r="A850" t="str">
            <v/>
          </cell>
        </row>
        <row r="851">
          <cell r="A851" t="str">
            <v/>
          </cell>
        </row>
        <row r="852">
          <cell r="A852" t="str">
            <v/>
          </cell>
        </row>
        <row r="853">
          <cell r="A853" t="str">
            <v/>
          </cell>
        </row>
        <row r="854">
          <cell r="A854" t="str">
            <v/>
          </cell>
        </row>
        <row r="855">
          <cell r="A855" t="str">
            <v/>
          </cell>
        </row>
        <row r="856">
          <cell r="A856" t="str">
            <v/>
          </cell>
        </row>
        <row r="857">
          <cell r="A857" t="str">
            <v/>
          </cell>
        </row>
        <row r="858">
          <cell r="A858" t="str">
            <v/>
          </cell>
        </row>
        <row r="859">
          <cell r="A859" t="str">
            <v/>
          </cell>
        </row>
        <row r="860">
          <cell r="A860" t="str">
            <v/>
          </cell>
        </row>
        <row r="861">
          <cell r="A861" t="str">
            <v/>
          </cell>
        </row>
        <row r="862">
          <cell r="A862" t="str">
            <v/>
          </cell>
        </row>
        <row r="863">
          <cell r="A863" t="str">
            <v/>
          </cell>
        </row>
        <row r="864">
          <cell r="A864" t="str">
            <v/>
          </cell>
        </row>
        <row r="865">
          <cell r="A865" t="str">
            <v/>
          </cell>
        </row>
        <row r="866">
          <cell r="A866" t="str">
            <v/>
          </cell>
        </row>
        <row r="867">
          <cell r="A867" t="str">
            <v/>
          </cell>
        </row>
        <row r="868">
          <cell r="A868" t="str">
            <v/>
          </cell>
        </row>
        <row r="869">
          <cell r="A869" t="str">
            <v/>
          </cell>
        </row>
        <row r="870">
          <cell r="A870" t="str">
            <v/>
          </cell>
        </row>
        <row r="871">
          <cell r="A871" t="str">
            <v/>
          </cell>
        </row>
        <row r="872">
          <cell r="A872" t="str">
            <v/>
          </cell>
        </row>
        <row r="873">
          <cell r="A873" t="str">
            <v/>
          </cell>
        </row>
        <row r="874">
          <cell r="A874" t="str">
            <v/>
          </cell>
        </row>
        <row r="875">
          <cell r="A875" t="str">
            <v/>
          </cell>
        </row>
        <row r="876">
          <cell r="A876" t="str">
            <v/>
          </cell>
        </row>
        <row r="877">
          <cell r="A877" t="str">
            <v/>
          </cell>
        </row>
        <row r="878">
          <cell r="A878" t="str">
            <v/>
          </cell>
        </row>
        <row r="879">
          <cell r="A879" t="str">
            <v/>
          </cell>
        </row>
        <row r="880">
          <cell r="A880" t="str">
            <v/>
          </cell>
        </row>
        <row r="881">
          <cell r="A881" t="str">
            <v/>
          </cell>
        </row>
        <row r="882">
          <cell r="A882" t="str">
            <v/>
          </cell>
        </row>
        <row r="883">
          <cell r="A883" t="str">
            <v/>
          </cell>
        </row>
        <row r="884">
          <cell r="A884" t="str">
            <v/>
          </cell>
        </row>
        <row r="885">
          <cell r="A885" t="str">
            <v/>
          </cell>
        </row>
        <row r="886">
          <cell r="A886" t="str">
            <v/>
          </cell>
        </row>
        <row r="887">
          <cell r="A887" t="str">
            <v/>
          </cell>
        </row>
        <row r="888">
          <cell r="A888" t="str">
            <v/>
          </cell>
        </row>
        <row r="889">
          <cell r="A889" t="str">
            <v/>
          </cell>
        </row>
        <row r="890">
          <cell r="A890" t="str">
            <v/>
          </cell>
        </row>
        <row r="891">
          <cell r="A891" t="str">
            <v/>
          </cell>
        </row>
        <row r="892">
          <cell r="A892" t="str">
            <v/>
          </cell>
        </row>
        <row r="893">
          <cell r="A893" t="str">
            <v/>
          </cell>
        </row>
        <row r="894">
          <cell r="A894" t="str">
            <v/>
          </cell>
        </row>
        <row r="895">
          <cell r="A895" t="str">
            <v/>
          </cell>
        </row>
        <row r="896">
          <cell r="A896" t="str">
            <v/>
          </cell>
        </row>
        <row r="897">
          <cell r="A897" t="str">
            <v/>
          </cell>
        </row>
        <row r="898">
          <cell r="A898" t="str">
            <v/>
          </cell>
        </row>
        <row r="899">
          <cell r="A899" t="str">
            <v/>
          </cell>
        </row>
        <row r="900">
          <cell r="A900" t="str">
            <v/>
          </cell>
        </row>
        <row r="901">
          <cell r="A901" t="str">
            <v/>
          </cell>
        </row>
        <row r="902">
          <cell r="A902" t="str">
            <v/>
          </cell>
        </row>
        <row r="903">
          <cell r="A903" t="str">
            <v/>
          </cell>
        </row>
        <row r="904">
          <cell r="A904" t="str">
            <v/>
          </cell>
        </row>
        <row r="905">
          <cell r="A905" t="str">
            <v/>
          </cell>
        </row>
        <row r="906">
          <cell r="A906" t="str">
            <v/>
          </cell>
        </row>
        <row r="907">
          <cell r="A907" t="str">
            <v/>
          </cell>
        </row>
        <row r="908">
          <cell r="A908" t="str">
            <v/>
          </cell>
        </row>
        <row r="909">
          <cell r="A909" t="str">
            <v/>
          </cell>
        </row>
        <row r="910">
          <cell r="A910" t="str">
            <v/>
          </cell>
        </row>
        <row r="911">
          <cell r="A911" t="str">
            <v/>
          </cell>
        </row>
        <row r="912">
          <cell r="A912" t="str">
            <v/>
          </cell>
        </row>
        <row r="913">
          <cell r="A913" t="str">
            <v/>
          </cell>
        </row>
        <row r="914">
          <cell r="A914" t="str">
            <v/>
          </cell>
        </row>
        <row r="915">
          <cell r="A915" t="str">
            <v/>
          </cell>
        </row>
        <row r="916">
          <cell r="A916" t="str">
            <v/>
          </cell>
        </row>
        <row r="917">
          <cell r="A917" t="str">
            <v/>
          </cell>
        </row>
        <row r="918">
          <cell r="A918" t="str">
            <v/>
          </cell>
        </row>
        <row r="919">
          <cell r="A919" t="str">
            <v/>
          </cell>
        </row>
        <row r="920">
          <cell r="A920" t="str">
            <v/>
          </cell>
        </row>
        <row r="921">
          <cell r="A921" t="str">
            <v/>
          </cell>
        </row>
        <row r="922">
          <cell r="A922" t="str">
            <v/>
          </cell>
        </row>
        <row r="923">
          <cell r="A923" t="str">
            <v/>
          </cell>
        </row>
        <row r="924">
          <cell r="A924" t="str">
            <v/>
          </cell>
        </row>
        <row r="925">
          <cell r="A925" t="str">
            <v/>
          </cell>
        </row>
        <row r="926">
          <cell r="A926" t="str">
            <v/>
          </cell>
        </row>
        <row r="927">
          <cell r="A927" t="str">
            <v/>
          </cell>
        </row>
        <row r="928">
          <cell r="A928" t="str">
            <v/>
          </cell>
        </row>
        <row r="929">
          <cell r="A929" t="str">
            <v/>
          </cell>
        </row>
        <row r="930">
          <cell r="A930" t="str">
            <v/>
          </cell>
        </row>
        <row r="931">
          <cell r="A931" t="str">
            <v/>
          </cell>
        </row>
        <row r="932">
          <cell r="A932" t="str">
            <v/>
          </cell>
        </row>
        <row r="933">
          <cell r="A933" t="str">
            <v/>
          </cell>
        </row>
        <row r="934">
          <cell r="A934" t="str">
            <v/>
          </cell>
        </row>
        <row r="935">
          <cell r="A935" t="str">
            <v/>
          </cell>
        </row>
        <row r="936">
          <cell r="A936" t="str">
            <v/>
          </cell>
        </row>
        <row r="937">
          <cell r="A937" t="str">
            <v/>
          </cell>
        </row>
        <row r="938">
          <cell r="A938" t="str">
            <v/>
          </cell>
        </row>
        <row r="939">
          <cell r="A939" t="str">
            <v/>
          </cell>
        </row>
        <row r="940">
          <cell r="A940" t="str">
            <v/>
          </cell>
        </row>
        <row r="941">
          <cell r="A941" t="str">
            <v/>
          </cell>
        </row>
        <row r="942">
          <cell r="A942" t="str">
            <v/>
          </cell>
        </row>
        <row r="943">
          <cell r="A943" t="str">
            <v/>
          </cell>
        </row>
        <row r="944">
          <cell r="A944" t="str">
            <v/>
          </cell>
        </row>
        <row r="945">
          <cell r="A945" t="str">
            <v/>
          </cell>
        </row>
        <row r="946">
          <cell r="A946" t="str">
            <v/>
          </cell>
        </row>
        <row r="947">
          <cell r="A947" t="str">
            <v/>
          </cell>
        </row>
        <row r="948">
          <cell r="A948" t="str">
            <v/>
          </cell>
        </row>
        <row r="949">
          <cell r="A949" t="str">
            <v/>
          </cell>
        </row>
        <row r="950">
          <cell r="A950" t="str">
            <v/>
          </cell>
        </row>
        <row r="951">
          <cell r="A951" t="str">
            <v/>
          </cell>
        </row>
        <row r="952">
          <cell r="A952" t="str">
            <v/>
          </cell>
        </row>
        <row r="953">
          <cell r="A953" t="str">
            <v/>
          </cell>
        </row>
        <row r="954">
          <cell r="A954" t="str">
            <v/>
          </cell>
        </row>
        <row r="955">
          <cell r="A955" t="str">
            <v/>
          </cell>
        </row>
        <row r="956">
          <cell r="A956" t="str">
            <v/>
          </cell>
        </row>
        <row r="957">
          <cell r="A957" t="str">
            <v/>
          </cell>
        </row>
        <row r="958">
          <cell r="A958" t="str">
            <v/>
          </cell>
        </row>
        <row r="959">
          <cell r="A959" t="str">
            <v/>
          </cell>
        </row>
        <row r="960">
          <cell r="A960" t="str">
            <v/>
          </cell>
        </row>
        <row r="961">
          <cell r="A961" t="str">
            <v/>
          </cell>
        </row>
        <row r="962">
          <cell r="A962" t="str">
            <v/>
          </cell>
        </row>
        <row r="963">
          <cell r="A963" t="str">
            <v/>
          </cell>
        </row>
        <row r="964">
          <cell r="A964" t="str">
            <v/>
          </cell>
        </row>
        <row r="965">
          <cell r="A965" t="str">
            <v/>
          </cell>
        </row>
        <row r="966">
          <cell r="A966" t="str">
            <v/>
          </cell>
        </row>
        <row r="967">
          <cell r="A967" t="str">
            <v/>
          </cell>
        </row>
        <row r="968">
          <cell r="A968" t="str">
            <v/>
          </cell>
        </row>
        <row r="969">
          <cell r="A969" t="str">
            <v/>
          </cell>
        </row>
        <row r="970">
          <cell r="A970" t="str">
            <v/>
          </cell>
        </row>
        <row r="971">
          <cell r="A971" t="str">
            <v/>
          </cell>
        </row>
        <row r="972">
          <cell r="A972" t="str">
            <v/>
          </cell>
        </row>
        <row r="973">
          <cell r="A973" t="str">
            <v/>
          </cell>
        </row>
        <row r="974">
          <cell r="A974" t="str">
            <v/>
          </cell>
        </row>
        <row r="975">
          <cell r="A975" t="str">
            <v/>
          </cell>
        </row>
        <row r="976">
          <cell r="A976" t="str">
            <v/>
          </cell>
        </row>
        <row r="977">
          <cell r="A977" t="str">
            <v/>
          </cell>
        </row>
        <row r="978">
          <cell r="A978" t="str">
            <v/>
          </cell>
        </row>
        <row r="979">
          <cell r="A979" t="str">
            <v/>
          </cell>
        </row>
        <row r="980">
          <cell r="A980" t="str">
            <v/>
          </cell>
        </row>
        <row r="981">
          <cell r="A981" t="str">
            <v/>
          </cell>
        </row>
        <row r="982">
          <cell r="A982" t="str">
            <v/>
          </cell>
        </row>
        <row r="983">
          <cell r="A983" t="str">
            <v/>
          </cell>
        </row>
        <row r="984">
          <cell r="A984" t="str">
            <v/>
          </cell>
        </row>
        <row r="985">
          <cell r="A985" t="str">
            <v/>
          </cell>
        </row>
        <row r="986">
          <cell r="A986" t="str">
            <v/>
          </cell>
        </row>
        <row r="987">
          <cell r="A987" t="str">
            <v/>
          </cell>
        </row>
        <row r="988">
          <cell r="A988" t="str">
            <v/>
          </cell>
        </row>
        <row r="989">
          <cell r="A989" t="str">
            <v/>
          </cell>
        </row>
        <row r="990">
          <cell r="A990" t="str">
            <v/>
          </cell>
        </row>
        <row r="991">
          <cell r="A991" t="str">
            <v/>
          </cell>
        </row>
        <row r="992">
          <cell r="A992" t="str">
            <v/>
          </cell>
        </row>
        <row r="993">
          <cell r="A993" t="str">
            <v/>
          </cell>
        </row>
        <row r="994">
          <cell r="A994" t="str">
            <v/>
          </cell>
        </row>
        <row r="995">
          <cell r="A995" t="str">
            <v/>
          </cell>
        </row>
        <row r="996">
          <cell r="A996" t="str">
            <v/>
          </cell>
        </row>
        <row r="997">
          <cell r="A997" t="str">
            <v/>
          </cell>
        </row>
        <row r="998">
          <cell r="A998" t="str">
            <v/>
          </cell>
        </row>
        <row r="999">
          <cell r="A999" t="str">
            <v/>
          </cell>
        </row>
        <row r="1000">
          <cell r="A1000" t="str">
            <v/>
          </cell>
        </row>
        <row r="1001">
          <cell r="A1001" t="str">
            <v/>
          </cell>
        </row>
        <row r="1002">
          <cell r="A1002" t="str">
            <v/>
          </cell>
        </row>
        <row r="1003">
          <cell r="A1003" t="str">
            <v/>
          </cell>
        </row>
        <row r="1004">
          <cell r="A1004" t="str">
            <v/>
          </cell>
        </row>
        <row r="1005">
          <cell r="A1005" t="str">
            <v/>
          </cell>
        </row>
        <row r="1006">
          <cell r="A1006" t="str">
            <v/>
          </cell>
        </row>
        <row r="1007">
          <cell r="A1007" t="str">
            <v/>
          </cell>
        </row>
        <row r="1008">
          <cell r="A1008" t="str">
            <v/>
          </cell>
        </row>
        <row r="1009">
          <cell r="A1009" t="str">
            <v/>
          </cell>
        </row>
        <row r="1010">
          <cell r="A1010" t="str">
            <v/>
          </cell>
        </row>
        <row r="1011">
          <cell r="A1011" t="str">
            <v/>
          </cell>
        </row>
        <row r="1012">
          <cell r="A1012" t="str">
            <v/>
          </cell>
        </row>
        <row r="1013">
          <cell r="A1013" t="str">
            <v/>
          </cell>
        </row>
        <row r="1014">
          <cell r="A1014" t="str">
            <v/>
          </cell>
        </row>
        <row r="1015">
          <cell r="A1015" t="str">
            <v/>
          </cell>
        </row>
        <row r="1016">
          <cell r="A1016" t="str">
            <v/>
          </cell>
        </row>
        <row r="1017">
          <cell r="A1017" t="str">
            <v/>
          </cell>
        </row>
        <row r="1018">
          <cell r="A1018" t="str">
            <v/>
          </cell>
        </row>
        <row r="1019">
          <cell r="A1019" t="str">
            <v/>
          </cell>
        </row>
        <row r="1020">
          <cell r="A1020" t="str">
            <v/>
          </cell>
        </row>
        <row r="1021">
          <cell r="A1021" t="str">
            <v/>
          </cell>
        </row>
        <row r="1022">
          <cell r="A1022" t="str">
            <v/>
          </cell>
        </row>
        <row r="1023">
          <cell r="A1023" t="str">
            <v/>
          </cell>
        </row>
        <row r="1024">
          <cell r="A1024" t="str">
            <v/>
          </cell>
        </row>
        <row r="1025">
          <cell r="A1025" t="str">
            <v/>
          </cell>
        </row>
        <row r="1026">
          <cell r="A1026" t="str">
            <v/>
          </cell>
        </row>
        <row r="1027">
          <cell r="A1027" t="str">
            <v/>
          </cell>
        </row>
        <row r="1028">
          <cell r="A1028" t="str">
            <v/>
          </cell>
        </row>
        <row r="1029">
          <cell r="A1029" t="str">
            <v/>
          </cell>
        </row>
        <row r="1030">
          <cell r="A1030" t="str">
            <v/>
          </cell>
        </row>
        <row r="1031">
          <cell r="A1031" t="str">
            <v/>
          </cell>
        </row>
        <row r="1032">
          <cell r="A1032" t="str">
            <v/>
          </cell>
        </row>
        <row r="1033">
          <cell r="A1033" t="str">
            <v/>
          </cell>
        </row>
        <row r="1034">
          <cell r="A1034" t="str">
            <v/>
          </cell>
        </row>
        <row r="1035">
          <cell r="A1035" t="str">
            <v/>
          </cell>
        </row>
        <row r="1036">
          <cell r="A1036" t="str">
            <v/>
          </cell>
        </row>
        <row r="1037">
          <cell r="A1037" t="str">
            <v/>
          </cell>
        </row>
        <row r="1038">
          <cell r="A1038" t="str">
            <v/>
          </cell>
        </row>
        <row r="1039">
          <cell r="A1039" t="str">
            <v/>
          </cell>
        </row>
        <row r="1040">
          <cell r="A1040" t="str">
            <v/>
          </cell>
        </row>
        <row r="1041">
          <cell r="A1041" t="str">
            <v/>
          </cell>
        </row>
        <row r="1042">
          <cell r="A1042" t="str">
            <v/>
          </cell>
        </row>
        <row r="1043">
          <cell r="A1043" t="str">
            <v/>
          </cell>
        </row>
        <row r="1044">
          <cell r="A1044" t="str">
            <v/>
          </cell>
        </row>
        <row r="1045">
          <cell r="A1045" t="str">
            <v/>
          </cell>
        </row>
        <row r="1046">
          <cell r="A1046" t="str">
            <v/>
          </cell>
        </row>
        <row r="1047">
          <cell r="A1047" t="str">
            <v/>
          </cell>
        </row>
        <row r="1048">
          <cell r="A1048" t="str">
            <v/>
          </cell>
        </row>
        <row r="1049">
          <cell r="A1049" t="str">
            <v/>
          </cell>
        </row>
        <row r="1050">
          <cell r="A1050" t="str">
            <v/>
          </cell>
        </row>
        <row r="1051">
          <cell r="A1051" t="str">
            <v/>
          </cell>
        </row>
        <row r="1052">
          <cell r="A1052" t="str">
            <v/>
          </cell>
        </row>
        <row r="1053">
          <cell r="A1053" t="str">
            <v/>
          </cell>
        </row>
        <row r="1054">
          <cell r="A1054" t="str">
            <v/>
          </cell>
        </row>
        <row r="1055">
          <cell r="A1055" t="str">
            <v/>
          </cell>
        </row>
        <row r="1056">
          <cell r="A1056" t="str">
            <v/>
          </cell>
        </row>
        <row r="1057">
          <cell r="A1057" t="str">
            <v/>
          </cell>
        </row>
        <row r="1058">
          <cell r="A1058" t="str">
            <v/>
          </cell>
        </row>
        <row r="1059">
          <cell r="A1059" t="str">
            <v/>
          </cell>
        </row>
        <row r="1060">
          <cell r="A1060" t="str">
            <v/>
          </cell>
        </row>
        <row r="1061">
          <cell r="A1061" t="str">
            <v/>
          </cell>
        </row>
        <row r="1062">
          <cell r="A1062" t="str">
            <v/>
          </cell>
        </row>
        <row r="1063">
          <cell r="A1063" t="str">
            <v/>
          </cell>
        </row>
        <row r="1064">
          <cell r="A1064" t="str">
            <v/>
          </cell>
        </row>
        <row r="1065">
          <cell r="A1065" t="str">
            <v/>
          </cell>
        </row>
        <row r="1066">
          <cell r="A1066" t="str">
            <v/>
          </cell>
        </row>
        <row r="1067">
          <cell r="A1067" t="str">
            <v/>
          </cell>
        </row>
        <row r="1068">
          <cell r="A1068" t="str">
            <v/>
          </cell>
        </row>
        <row r="1069">
          <cell r="A1069" t="str">
            <v/>
          </cell>
        </row>
        <row r="1070">
          <cell r="A1070" t="str">
            <v/>
          </cell>
        </row>
        <row r="1071">
          <cell r="A1071" t="str">
            <v/>
          </cell>
        </row>
        <row r="1072">
          <cell r="A1072" t="str">
            <v/>
          </cell>
        </row>
        <row r="1073">
          <cell r="A1073" t="str">
            <v/>
          </cell>
        </row>
        <row r="1074">
          <cell r="A1074" t="str">
            <v/>
          </cell>
        </row>
        <row r="1075">
          <cell r="A1075" t="str">
            <v/>
          </cell>
        </row>
        <row r="1076">
          <cell r="A1076" t="str">
            <v/>
          </cell>
        </row>
        <row r="1077">
          <cell r="A1077" t="str">
            <v/>
          </cell>
        </row>
        <row r="1078">
          <cell r="A1078" t="str">
            <v/>
          </cell>
        </row>
        <row r="1079">
          <cell r="A1079" t="str">
            <v/>
          </cell>
        </row>
        <row r="1080">
          <cell r="A1080" t="str">
            <v/>
          </cell>
        </row>
        <row r="1081">
          <cell r="A1081" t="str">
            <v/>
          </cell>
        </row>
        <row r="1082">
          <cell r="A1082" t="str">
            <v/>
          </cell>
        </row>
        <row r="1083">
          <cell r="A1083" t="str">
            <v/>
          </cell>
        </row>
        <row r="1084">
          <cell r="A1084" t="str">
            <v/>
          </cell>
        </row>
        <row r="1085">
          <cell r="A1085" t="str">
            <v/>
          </cell>
        </row>
        <row r="1086">
          <cell r="A1086" t="str">
            <v/>
          </cell>
        </row>
        <row r="1087">
          <cell r="A1087" t="str">
            <v/>
          </cell>
        </row>
        <row r="1088">
          <cell r="A1088" t="str">
            <v/>
          </cell>
        </row>
        <row r="1089">
          <cell r="A1089" t="str">
            <v/>
          </cell>
        </row>
        <row r="1090">
          <cell r="A1090" t="str">
            <v/>
          </cell>
        </row>
        <row r="1091">
          <cell r="A1091" t="str">
            <v/>
          </cell>
        </row>
        <row r="1092">
          <cell r="A1092" t="str">
            <v/>
          </cell>
        </row>
        <row r="1093">
          <cell r="A1093" t="str">
            <v/>
          </cell>
        </row>
        <row r="1094">
          <cell r="A1094" t="str">
            <v/>
          </cell>
        </row>
        <row r="1095">
          <cell r="A1095" t="str">
            <v/>
          </cell>
        </row>
        <row r="1096">
          <cell r="A1096" t="str">
            <v/>
          </cell>
        </row>
        <row r="1097">
          <cell r="A1097" t="str">
            <v/>
          </cell>
        </row>
        <row r="1098">
          <cell r="A1098" t="str">
            <v/>
          </cell>
        </row>
        <row r="1099">
          <cell r="A1099" t="str">
            <v/>
          </cell>
        </row>
        <row r="1100">
          <cell r="A1100" t="str">
            <v/>
          </cell>
        </row>
        <row r="1101">
          <cell r="A1101" t="str">
            <v/>
          </cell>
        </row>
        <row r="1102">
          <cell r="A1102" t="str">
            <v/>
          </cell>
        </row>
        <row r="1103">
          <cell r="A1103" t="str">
            <v/>
          </cell>
        </row>
        <row r="1104">
          <cell r="A1104" t="str">
            <v/>
          </cell>
        </row>
        <row r="1105">
          <cell r="A1105" t="str">
            <v/>
          </cell>
        </row>
        <row r="1106">
          <cell r="A1106" t="str">
            <v/>
          </cell>
        </row>
        <row r="1107">
          <cell r="A1107" t="str">
            <v/>
          </cell>
        </row>
        <row r="1108">
          <cell r="A1108" t="str">
            <v/>
          </cell>
        </row>
        <row r="1109">
          <cell r="A1109" t="str">
            <v/>
          </cell>
        </row>
        <row r="1110">
          <cell r="A1110" t="str">
            <v/>
          </cell>
        </row>
        <row r="1111">
          <cell r="A1111" t="str">
            <v/>
          </cell>
        </row>
        <row r="1112">
          <cell r="A1112" t="str">
            <v/>
          </cell>
        </row>
        <row r="1113">
          <cell r="A1113" t="str">
            <v/>
          </cell>
        </row>
        <row r="1114">
          <cell r="A1114" t="str">
            <v/>
          </cell>
        </row>
        <row r="1115">
          <cell r="A1115" t="str">
            <v/>
          </cell>
        </row>
        <row r="1116">
          <cell r="A1116" t="str">
            <v/>
          </cell>
        </row>
        <row r="1117">
          <cell r="A1117" t="str">
            <v/>
          </cell>
        </row>
        <row r="1118">
          <cell r="A1118" t="str">
            <v/>
          </cell>
        </row>
        <row r="1119">
          <cell r="A1119" t="str">
            <v/>
          </cell>
        </row>
        <row r="1120">
          <cell r="A1120" t="str">
            <v/>
          </cell>
        </row>
        <row r="1121">
          <cell r="A1121" t="str">
            <v/>
          </cell>
        </row>
        <row r="1122">
          <cell r="A1122" t="str">
            <v/>
          </cell>
        </row>
        <row r="1123">
          <cell r="A1123" t="str">
            <v/>
          </cell>
        </row>
        <row r="1124">
          <cell r="A1124" t="str">
            <v/>
          </cell>
        </row>
        <row r="1125">
          <cell r="A1125" t="str">
            <v/>
          </cell>
        </row>
        <row r="1126">
          <cell r="A1126" t="str">
            <v/>
          </cell>
        </row>
        <row r="1127">
          <cell r="A1127" t="str">
            <v/>
          </cell>
        </row>
        <row r="1128">
          <cell r="A1128" t="str">
            <v/>
          </cell>
        </row>
        <row r="1129">
          <cell r="A1129" t="str">
            <v/>
          </cell>
        </row>
        <row r="1130">
          <cell r="A1130" t="str">
            <v/>
          </cell>
        </row>
        <row r="1131">
          <cell r="A1131" t="str">
            <v/>
          </cell>
        </row>
        <row r="1132">
          <cell r="A1132" t="str">
            <v/>
          </cell>
        </row>
        <row r="1133">
          <cell r="A1133" t="str">
            <v/>
          </cell>
        </row>
        <row r="1134">
          <cell r="A1134" t="str">
            <v/>
          </cell>
        </row>
        <row r="1135">
          <cell r="A1135" t="str">
            <v/>
          </cell>
        </row>
        <row r="1136">
          <cell r="A1136" t="str">
            <v/>
          </cell>
        </row>
        <row r="1137">
          <cell r="A1137" t="str">
            <v/>
          </cell>
        </row>
        <row r="1138">
          <cell r="A1138" t="str">
            <v/>
          </cell>
        </row>
        <row r="1139">
          <cell r="A1139" t="str">
            <v/>
          </cell>
        </row>
        <row r="1140">
          <cell r="A1140" t="str">
            <v/>
          </cell>
        </row>
        <row r="1141">
          <cell r="A1141" t="str">
            <v/>
          </cell>
        </row>
        <row r="1142">
          <cell r="A1142" t="str">
            <v/>
          </cell>
        </row>
        <row r="1143">
          <cell r="A1143" t="str">
            <v/>
          </cell>
        </row>
        <row r="1144">
          <cell r="A1144" t="str">
            <v/>
          </cell>
        </row>
        <row r="1145">
          <cell r="A1145" t="str">
            <v/>
          </cell>
        </row>
        <row r="1146">
          <cell r="A1146" t="str">
            <v/>
          </cell>
        </row>
        <row r="1147">
          <cell r="A1147" t="str">
            <v/>
          </cell>
        </row>
        <row r="1148">
          <cell r="A1148" t="str">
            <v/>
          </cell>
        </row>
        <row r="1149">
          <cell r="A1149" t="str">
            <v/>
          </cell>
        </row>
        <row r="1150">
          <cell r="A1150" t="str">
            <v/>
          </cell>
        </row>
        <row r="1151">
          <cell r="A1151" t="str">
            <v/>
          </cell>
        </row>
        <row r="1152">
          <cell r="A1152" t="str">
            <v/>
          </cell>
        </row>
        <row r="1153">
          <cell r="A1153" t="str">
            <v/>
          </cell>
        </row>
        <row r="1154">
          <cell r="A1154" t="str">
            <v/>
          </cell>
        </row>
        <row r="1155">
          <cell r="A1155" t="str">
            <v/>
          </cell>
        </row>
        <row r="1156">
          <cell r="A1156" t="str">
            <v/>
          </cell>
        </row>
        <row r="1157">
          <cell r="A1157" t="str">
            <v/>
          </cell>
        </row>
        <row r="1158">
          <cell r="A1158" t="str">
            <v/>
          </cell>
        </row>
        <row r="1159">
          <cell r="A1159" t="str">
            <v/>
          </cell>
        </row>
        <row r="1160">
          <cell r="A1160" t="str">
            <v/>
          </cell>
        </row>
        <row r="1161">
          <cell r="A1161" t="str">
            <v/>
          </cell>
        </row>
        <row r="1162">
          <cell r="A1162" t="str">
            <v/>
          </cell>
        </row>
        <row r="1163">
          <cell r="A1163" t="str">
            <v/>
          </cell>
        </row>
        <row r="1164">
          <cell r="A1164" t="str">
            <v/>
          </cell>
        </row>
        <row r="1165">
          <cell r="A1165" t="str">
            <v/>
          </cell>
        </row>
        <row r="1166">
          <cell r="A1166" t="str">
            <v/>
          </cell>
        </row>
        <row r="1167">
          <cell r="A1167" t="str">
            <v/>
          </cell>
        </row>
        <row r="1168">
          <cell r="A1168" t="str">
            <v/>
          </cell>
        </row>
        <row r="1169">
          <cell r="A1169" t="str">
            <v/>
          </cell>
        </row>
        <row r="1170">
          <cell r="A1170" t="str">
            <v/>
          </cell>
        </row>
        <row r="1171">
          <cell r="A1171" t="str">
            <v/>
          </cell>
        </row>
        <row r="1172">
          <cell r="A1172" t="str">
            <v/>
          </cell>
        </row>
        <row r="1173">
          <cell r="A1173" t="str">
            <v/>
          </cell>
        </row>
        <row r="1174">
          <cell r="A1174" t="str">
            <v/>
          </cell>
        </row>
        <row r="1175">
          <cell r="A1175" t="str">
            <v/>
          </cell>
        </row>
        <row r="1176">
          <cell r="A1176" t="str">
            <v/>
          </cell>
        </row>
        <row r="1177">
          <cell r="A1177" t="str">
            <v/>
          </cell>
        </row>
        <row r="1178">
          <cell r="A1178" t="str">
            <v/>
          </cell>
        </row>
        <row r="1179">
          <cell r="A1179" t="str">
            <v/>
          </cell>
        </row>
        <row r="1180">
          <cell r="A1180" t="str">
            <v/>
          </cell>
        </row>
        <row r="1181">
          <cell r="A1181" t="str">
            <v/>
          </cell>
        </row>
        <row r="1182">
          <cell r="A1182" t="str">
            <v/>
          </cell>
        </row>
        <row r="1183">
          <cell r="A1183" t="str">
            <v/>
          </cell>
        </row>
        <row r="1184">
          <cell r="A1184" t="str">
            <v/>
          </cell>
        </row>
        <row r="1185">
          <cell r="A1185" t="str">
            <v/>
          </cell>
        </row>
        <row r="1186">
          <cell r="A1186" t="str">
            <v/>
          </cell>
        </row>
        <row r="1187">
          <cell r="A1187" t="str">
            <v/>
          </cell>
        </row>
        <row r="1188">
          <cell r="A1188" t="str">
            <v/>
          </cell>
        </row>
        <row r="1189">
          <cell r="A1189" t="str">
            <v/>
          </cell>
        </row>
        <row r="1190">
          <cell r="A1190" t="str">
            <v/>
          </cell>
        </row>
        <row r="1191">
          <cell r="A1191" t="str">
            <v/>
          </cell>
        </row>
        <row r="1192">
          <cell r="A1192" t="str">
            <v/>
          </cell>
        </row>
        <row r="1193">
          <cell r="A1193" t="str">
            <v/>
          </cell>
        </row>
        <row r="1194">
          <cell r="A1194" t="str">
            <v/>
          </cell>
        </row>
        <row r="1195">
          <cell r="A1195" t="str">
            <v/>
          </cell>
        </row>
        <row r="1196">
          <cell r="A1196" t="str">
            <v/>
          </cell>
        </row>
        <row r="1197">
          <cell r="A1197" t="str">
            <v/>
          </cell>
        </row>
        <row r="1198">
          <cell r="A1198" t="str">
            <v/>
          </cell>
        </row>
        <row r="1199">
          <cell r="A1199" t="str">
            <v/>
          </cell>
        </row>
        <row r="1200">
          <cell r="A1200" t="str">
            <v/>
          </cell>
        </row>
        <row r="1201">
          <cell r="A1201" t="str">
            <v/>
          </cell>
        </row>
        <row r="1202">
          <cell r="A1202" t="str">
            <v/>
          </cell>
        </row>
        <row r="1203">
          <cell r="A1203" t="str">
            <v/>
          </cell>
        </row>
        <row r="1204">
          <cell r="A1204" t="str">
            <v/>
          </cell>
        </row>
        <row r="1205">
          <cell r="A1205" t="str">
            <v/>
          </cell>
        </row>
        <row r="1206">
          <cell r="A1206" t="str">
            <v/>
          </cell>
        </row>
        <row r="1207">
          <cell r="A1207" t="str">
            <v/>
          </cell>
        </row>
        <row r="1208">
          <cell r="A1208" t="str">
            <v/>
          </cell>
        </row>
        <row r="1209">
          <cell r="A1209" t="str">
            <v/>
          </cell>
        </row>
        <row r="1210">
          <cell r="A1210" t="str">
            <v/>
          </cell>
        </row>
        <row r="1211">
          <cell r="A1211" t="str">
            <v/>
          </cell>
        </row>
        <row r="1212">
          <cell r="A1212" t="str">
            <v/>
          </cell>
        </row>
        <row r="1213">
          <cell r="A1213" t="str">
            <v/>
          </cell>
        </row>
        <row r="1214">
          <cell r="A1214" t="str">
            <v/>
          </cell>
        </row>
        <row r="1215">
          <cell r="A1215" t="str">
            <v/>
          </cell>
        </row>
        <row r="1216">
          <cell r="A1216" t="str">
            <v/>
          </cell>
        </row>
        <row r="1217">
          <cell r="A1217" t="str">
            <v/>
          </cell>
        </row>
        <row r="1218">
          <cell r="A1218" t="str">
            <v/>
          </cell>
        </row>
        <row r="1219">
          <cell r="A1219" t="str">
            <v/>
          </cell>
        </row>
        <row r="1220">
          <cell r="A1220" t="str">
            <v/>
          </cell>
        </row>
        <row r="1221">
          <cell r="A1221" t="str">
            <v/>
          </cell>
        </row>
        <row r="1222">
          <cell r="A1222" t="str">
            <v/>
          </cell>
        </row>
        <row r="1223">
          <cell r="A1223" t="str">
            <v/>
          </cell>
        </row>
        <row r="1224">
          <cell r="A1224" t="str">
            <v/>
          </cell>
        </row>
        <row r="1225">
          <cell r="A1225" t="str">
            <v/>
          </cell>
        </row>
        <row r="1226">
          <cell r="A1226" t="str">
            <v/>
          </cell>
        </row>
        <row r="1227">
          <cell r="A1227" t="str">
            <v/>
          </cell>
        </row>
        <row r="1228">
          <cell r="A1228" t="str">
            <v/>
          </cell>
        </row>
        <row r="1229">
          <cell r="A1229" t="str">
            <v/>
          </cell>
        </row>
        <row r="1230">
          <cell r="A1230" t="str">
            <v/>
          </cell>
        </row>
        <row r="1231">
          <cell r="A1231" t="str">
            <v/>
          </cell>
        </row>
        <row r="1232">
          <cell r="A1232" t="str">
            <v/>
          </cell>
        </row>
        <row r="1233">
          <cell r="A1233" t="str">
            <v/>
          </cell>
        </row>
        <row r="1234">
          <cell r="A1234" t="str">
            <v/>
          </cell>
        </row>
        <row r="1235">
          <cell r="A1235" t="str">
            <v/>
          </cell>
        </row>
        <row r="1236">
          <cell r="A1236" t="str">
            <v/>
          </cell>
        </row>
        <row r="1237">
          <cell r="A1237" t="str">
            <v/>
          </cell>
        </row>
        <row r="1238">
          <cell r="A1238" t="str">
            <v/>
          </cell>
        </row>
        <row r="1239">
          <cell r="A1239" t="str">
            <v/>
          </cell>
        </row>
        <row r="1240">
          <cell r="A1240" t="str">
            <v/>
          </cell>
        </row>
        <row r="1241">
          <cell r="A1241" t="str">
            <v/>
          </cell>
        </row>
        <row r="1242">
          <cell r="A1242" t="str">
            <v/>
          </cell>
        </row>
        <row r="1243">
          <cell r="A1243" t="str">
            <v/>
          </cell>
        </row>
        <row r="1244">
          <cell r="A1244" t="str">
            <v/>
          </cell>
        </row>
        <row r="1245">
          <cell r="A1245" t="str">
            <v/>
          </cell>
        </row>
        <row r="1246">
          <cell r="A1246" t="str">
            <v/>
          </cell>
        </row>
        <row r="1247">
          <cell r="A1247" t="str">
            <v/>
          </cell>
        </row>
        <row r="1248">
          <cell r="A1248" t="str">
            <v/>
          </cell>
        </row>
        <row r="1249">
          <cell r="A1249" t="str">
            <v/>
          </cell>
        </row>
        <row r="1250">
          <cell r="A1250" t="str">
            <v/>
          </cell>
        </row>
        <row r="1251">
          <cell r="A1251" t="str">
            <v/>
          </cell>
        </row>
        <row r="1252">
          <cell r="A1252" t="str">
            <v/>
          </cell>
        </row>
        <row r="1253">
          <cell r="A1253" t="str">
            <v/>
          </cell>
        </row>
        <row r="1254">
          <cell r="A1254" t="str">
            <v/>
          </cell>
        </row>
        <row r="1255">
          <cell r="A1255" t="str">
            <v/>
          </cell>
        </row>
        <row r="1256">
          <cell r="A1256" t="str">
            <v/>
          </cell>
        </row>
        <row r="1257">
          <cell r="A1257" t="str">
            <v/>
          </cell>
        </row>
        <row r="1258">
          <cell r="A1258" t="str">
            <v/>
          </cell>
        </row>
        <row r="1259">
          <cell r="A1259" t="str">
            <v/>
          </cell>
        </row>
        <row r="1260">
          <cell r="A1260" t="str">
            <v/>
          </cell>
        </row>
        <row r="1261">
          <cell r="A1261" t="str">
            <v/>
          </cell>
        </row>
        <row r="1262">
          <cell r="A1262" t="str">
            <v/>
          </cell>
        </row>
        <row r="1263">
          <cell r="A1263" t="str">
            <v/>
          </cell>
        </row>
        <row r="1264">
          <cell r="A1264" t="str">
            <v/>
          </cell>
        </row>
        <row r="1265">
          <cell r="A1265" t="str">
            <v/>
          </cell>
        </row>
        <row r="1266">
          <cell r="A1266" t="str">
            <v/>
          </cell>
        </row>
        <row r="1267">
          <cell r="A1267" t="str">
            <v/>
          </cell>
        </row>
        <row r="1268">
          <cell r="A1268" t="str">
            <v/>
          </cell>
        </row>
        <row r="1269">
          <cell r="A1269" t="str">
            <v/>
          </cell>
        </row>
        <row r="1270">
          <cell r="A1270" t="str">
            <v/>
          </cell>
        </row>
        <row r="1271">
          <cell r="A1271" t="str">
            <v/>
          </cell>
        </row>
        <row r="1272">
          <cell r="A1272" t="str">
            <v/>
          </cell>
        </row>
        <row r="1273">
          <cell r="A1273" t="str">
            <v/>
          </cell>
        </row>
        <row r="1274">
          <cell r="A1274" t="str">
            <v/>
          </cell>
        </row>
        <row r="1275">
          <cell r="A1275" t="str">
            <v/>
          </cell>
        </row>
        <row r="1276">
          <cell r="A1276" t="str">
            <v/>
          </cell>
        </row>
        <row r="1277">
          <cell r="A1277" t="str">
            <v/>
          </cell>
        </row>
        <row r="1278">
          <cell r="A1278" t="str">
            <v/>
          </cell>
        </row>
        <row r="1279">
          <cell r="A1279" t="str">
            <v/>
          </cell>
        </row>
        <row r="1280">
          <cell r="A1280" t="str">
            <v/>
          </cell>
        </row>
        <row r="1281">
          <cell r="A1281" t="str">
            <v/>
          </cell>
        </row>
        <row r="1282">
          <cell r="A1282" t="str">
            <v/>
          </cell>
        </row>
        <row r="1283">
          <cell r="A1283" t="str">
            <v/>
          </cell>
        </row>
        <row r="1284">
          <cell r="A1284" t="str">
            <v/>
          </cell>
        </row>
        <row r="1285">
          <cell r="A1285" t="str">
            <v/>
          </cell>
        </row>
        <row r="1286">
          <cell r="A1286" t="str">
            <v/>
          </cell>
        </row>
        <row r="1287">
          <cell r="A1287" t="str">
            <v/>
          </cell>
        </row>
        <row r="1288">
          <cell r="A1288" t="str">
            <v/>
          </cell>
        </row>
        <row r="1289">
          <cell r="A1289" t="str">
            <v/>
          </cell>
        </row>
        <row r="1290">
          <cell r="A1290" t="str">
            <v/>
          </cell>
        </row>
        <row r="1291">
          <cell r="A1291" t="str">
            <v/>
          </cell>
        </row>
        <row r="1292">
          <cell r="A1292" t="str">
            <v/>
          </cell>
        </row>
        <row r="1293">
          <cell r="A1293" t="str">
            <v/>
          </cell>
        </row>
        <row r="1294">
          <cell r="A1294" t="str">
            <v/>
          </cell>
        </row>
        <row r="1295">
          <cell r="A1295" t="str">
            <v/>
          </cell>
        </row>
        <row r="1296">
          <cell r="A1296" t="str">
            <v/>
          </cell>
        </row>
        <row r="1297">
          <cell r="A1297" t="str">
            <v/>
          </cell>
        </row>
        <row r="1298">
          <cell r="A1298" t="str">
            <v/>
          </cell>
        </row>
        <row r="1299">
          <cell r="A1299" t="str">
            <v/>
          </cell>
        </row>
        <row r="1300">
          <cell r="A1300" t="str">
            <v/>
          </cell>
        </row>
        <row r="1301">
          <cell r="A1301" t="str">
            <v/>
          </cell>
        </row>
        <row r="1302">
          <cell r="A1302" t="str">
            <v/>
          </cell>
        </row>
        <row r="1303">
          <cell r="A1303" t="str">
            <v/>
          </cell>
        </row>
        <row r="1304">
          <cell r="A1304" t="str">
            <v/>
          </cell>
        </row>
        <row r="1305">
          <cell r="A1305" t="str">
            <v/>
          </cell>
        </row>
        <row r="1306">
          <cell r="A1306" t="str">
            <v/>
          </cell>
        </row>
        <row r="1307">
          <cell r="A1307" t="str">
            <v/>
          </cell>
        </row>
        <row r="1308">
          <cell r="A1308" t="str">
            <v/>
          </cell>
        </row>
        <row r="1309">
          <cell r="A1309" t="str">
            <v/>
          </cell>
        </row>
        <row r="1310">
          <cell r="A1310" t="str">
            <v/>
          </cell>
        </row>
        <row r="1311">
          <cell r="A1311" t="str">
            <v/>
          </cell>
        </row>
        <row r="1312">
          <cell r="A1312" t="str">
            <v/>
          </cell>
        </row>
        <row r="1313">
          <cell r="A1313" t="str">
            <v/>
          </cell>
        </row>
        <row r="1314">
          <cell r="A1314" t="str">
            <v/>
          </cell>
        </row>
        <row r="1315">
          <cell r="A1315" t="str">
            <v/>
          </cell>
        </row>
        <row r="1316">
          <cell r="A1316" t="str">
            <v/>
          </cell>
        </row>
        <row r="1317">
          <cell r="A1317" t="str">
            <v/>
          </cell>
        </row>
        <row r="1318">
          <cell r="A1318" t="str">
            <v/>
          </cell>
        </row>
        <row r="1319">
          <cell r="A1319" t="str">
            <v/>
          </cell>
        </row>
        <row r="1320">
          <cell r="A1320" t="str">
            <v/>
          </cell>
        </row>
        <row r="1321">
          <cell r="A1321" t="str">
            <v/>
          </cell>
        </row>
        <row r="1322">
          <cell r="A1322" t="str">
            <v/>
          </cell>
        </row>
        <row r="1323">
          <cell r="A1323" t="str">
            <v/>
          </cell>
        </row>
        <row r="1324">
          <cell r="A1324" t="str">
            <v/>
          </cell>
        </row>
        <row r="1325">
          <cell r="A1325" t="str">
            <v/>
          </cell>
        </row>
        <row r="1326">
          <cell r="A1326" t="str">
            <v/>
          </cell>
        </row>
        <row r="1327">
          <cell r="A1327" t="str">
            <v/>
          </cell>
        </row>
        <row r="1328">
          <cell r="A1328" t="str">
            <v/>
          </cell>
        </row>
        <row r="1329">
          <cell r="A1329" t="str">
            <v/>
          </cell>
        </row>
        <row r="1330">
          <cell r="A1330" t="str">
            <v/>
          </cell>
        </row>
        <row r="1331">
          <cell r="A1331" t="str">
            <v/>
          </cell>
        </row>
        <row r="1332">
          <cell r="A1332" t="str">
            <v/>
          </cell>
        </row>
        <row r="1333">
          <cell r="A1333" t="str">
            <v/>
          </cell>
        </row>
        <row r="1334">
          <cell r="A1334" t="str">
            <v/>
          </cell>
        </row>
        <row r="1335">
          <cell r="A1335" t="str">
            <v/>
          </cell>
        </row>
        <row r="1336">
          <cell r="A1336" t="str">
            <v/>
          </cell>
        </row>
        <row r="1337">
          <cell r="A1337" t="str">
            <v/>
          </cell>
        </row>
        <row r="1338">
          <cell r="A1338" t="str">
            <v/>
          </cell>
        </row>
        <row r="1339">
          <cell r="A1339" t="str">
            <v/>
          </cell>
        </row>
        <row r="1340">
          <cell r="A1340" t="str">
            <v/>
          </cell>
        </row>
        <row r="1341">
          <cell r="A1341" t="str">
            <v/>
          </cell>
        </row>
        <row r="1342">
          <cell r="A1342" t="str">
            <v/>
          </cell>
        </row>
        <row r="1343">
          <cell r="A1343" t="str">
            <v/>
          </cell>
        </row>
        <row r="1344">
          <cell r="A1344" t="str">
            <v/>
          </cell>
        </row>
        <row r="1345">
          <cell r="A1345" t="str">
            <v/>
          </cell>
        </row>
        <row r="1346">
          <cell r="A1346" t="str">
            <v/>
          </cell>
        </row>
        <row r="1347">
          <cell r="A1347" t="str">
            <v/>
          </cell>
        </row>
        <row r="1348">
          <cell r="A1348" t="str">
            <v/>
          </cell>
        </row>
        <row r="1349">
          <cell r="A1349" t="str">
            <v/>
          </cell>
        </row>
        <row r="1350">
          <cell r="A1350" t="str">
            <v/>
          </cell>
        </row>
        <row r="1351">
          <cell r="A1351" t="str">
            <v/>
          </cell>
        </row>
        <row r="1352">
          <cell r="A1352" t="str">
            <v/>
          </cell>
        </row>
        <row r="1353">
          <cell r="A1353" t="str">
            <v/>
          </cell>
        </row>
        <row r="1354">
          <cell r="A1354" t="str">
            <v/>
          </cell>
        </row>
        <row r="1355">
          <cell r="A1355" t="str">
            <v/>
          </cell>
        </row>
        <row r="1356">
          <cell r="A1356" t="str">
            <v/>
          </cell>
        </row>
        <row r="1357">
          <cell r="A1357" t="str">
            <v/>
          </cell>
        </row>
        <row r="1358">
          <cell r="A1358" t="str">
            <v/>
          </cell>
        </row>
        <row r="1359">
          <cell r="A1359" t="str">
            <v/>
          </cell>
        </row>
        <row r="1360">
          <cell r="A1360" t="str">
            <v/>
          </cell>
        </row>
        <row r="1361">
          <cell r="A1361" t="str">
            <v/>
          </cell>
        </row>
        <row r="1362">
          <cell r="A1362" t="str">
            <v/>
          </cell>
        </row>
        <row r="1363">
          <cell r="A1363" t="str">
            <v/>
          </cell>
        </row>
        <row r="1364">
          <cell r="A1364" t="str">
            <v/>
          </cell>
        </row>
        <row r="1365">
          <cell r="A1365" t="str">
            <v/>
          </cell>
        </row>
        <row r="1366">
          <cell r="A1366" t="str">
            <v/>
          </cell>
        </row>
        <row r="1367">
          <cell r="A1367" t="str">
            <v/>
          </cell>
        </row>
        <row r="1368">
          <cell r="A1368" t="str">
            <v/>
          </cell>
        </row>
        <row r="1369">
          <cell r="A1369" t="str">
            <v/>
          </cell>
        </row>
        <row r="1370">
          <cell r="A1370" t="str">
            <v/>
          </cell>
        </row>
        <row r="1371">
          <cell r="A1371" t="str">
            <v/>
          </cell>
        </row>
        <row r="1372">
          <cell r="A1372" t="str">
            <v/>
          </cell>
        </row>
        <row r="1373">
          <cell r="A1373" t="str">
            <v/>
          </cell>
        </row>
        <row r="1374">
          <cell r="A1374" t="str">
            <v/>
          </cell>
        </row>
        <row r="1375">
          <cell r="A1375" t="str">
            <v/>
          </cell>
        </row>
        <row r="1376">
          <cell r="A1376" t="str">
            <v/>
          </cell>
        </row>
        <row r="1377">
          <cell r="A1377" t="str">
            <v/>
          </cell>
        </row>
        <row r="1378">
          <cell r="A1378" t="str">
            <v/>
          </cell>
        </row>
        <row r="1379">
          <cell r="A1379" t="str">
            <v/>
          </cell>
        </row>
        <row r="1380">
          <cell r="A1380" t="str">
            <v/>
          </cell>
        </row>
        <row r="1381">
          <cell r="A1381" t="str">
            <v/>
          </cell>
        </row>
        <row r="1382">
          <cell r="A1382" t="str">
            <v/>
          </cell>
        </row>
        <row r="1383">
          <cell r="A1383" t="str">
            <v/>
          </cell>
        </row>
        <row r="1384">
          <cell r="A1384" t="str">
            <v/>
          </cell>
        </row>
        <row r="1385">
          <cell r="A1385" t="str">
            <v/>
          </cell>
        </row>
        <row r="1386">
          <cell r="A1386" t="str">
            <v/>
          </cell>
        </row>
        <row r="1387">
          <cell r="A1387" t="str">
            <v/>
          </cell>
        </row>
        <row r="1388">
          <cell r="A1388" t="str">
            <v/>
          </cell>
        </row>
        <row r="1389">
          <cell r="A1389" t="str">
            <v/>
          </cell>
        </row>
        <row r="1390">
          <cell r="A1390" t="str">
            <v/>
          </cell>
        </row>
        <row r="1391">
          <cell r="A1391" t="str">
            <v/>
          </cell>
        </row>
        <row r="1392">
          <cell r="A1392" t="str">
            <v/>
          </cell>
        </row>
        <row r="1393">
          <cell r="A1393" t="str">
            <v/>
          </cell>
        </row>
        <row r="1394">
          <cell r="A1394" t="str">
            <v/>
          </cell>
        </row>
        <row r="1395">
          <cell r="A1395" t="str">
            <v/>
          </cell>
        </row>
        <row r="1396">
          <cell r="A1396" t="str">
            <v/>
          </cell>
        </row>
        <row r="1397">
          <cell r="A1397" t="str">
            <v/>
          </cell>
        </row>
        <row r="1398">
          <cell r="A1398" t="str">
            <v/>
          </cell>
        </row>
        <row r="1399">
          <cell r="A1399" t="str">
            <v/>
          </cell>
        </row>
        <row r="1400">
          <cell r="A1400" t="str">
            <v/>
          </cell>
        </row>
        <row r="1401">
          <cell r="A1401" t="str">
            <v/>
          </cell>
        </row>
        <row r="1402">
          <cell r="A1402" t="str">
            <v/>
          </cell>
        </row>
        <row r="1403">
          <cell r="A1403" t="str">
            <v/>
          </cell>
        </row>
        <row r="1404">
          <cell r="A1404" t="str">
            <v/>
          </cell>
        </row>
        <row r="1405">
          <cell r="A1405" t="str">
            <v/>
          </cell>
        </row>
        <row r="1406">
          <cell r="A1406" t="str">
            <v/>
          </cell>
        </row>
        <row r="1407">
          <cell r="A1407" t="str">
            <v/>
          </cell>
        </row>
        <row r="1408">
          <cell r="A1408" t="str">
            <v/>
          </cell>
        </row>
        <row r="1409">
          <cell r="A1409" t="str">
            <v/>
          </cell>
        </row>
        <row r="1410">
          <cell r="A1410" t="str">
            <v/>
          </cell>
        </row>
        <row r="1411">
          <cell r="A1411" t="str">
            <v/>
          </cell>
        </row>
        <row r="1412">
          <cell r="A1412" t="str">
            <v/>
          </cell>
        </row>
        <row r="1413">
          <cell r="A1413" t="str">
            <v/>
          </cell>
        </row>
        <row r="1414">
          <cell r="A1414" t="str">
            <v/>
          </cell>
        </row>
        <row r="1415">
          <cell r="A1415" t="str">
            <v/>
          </cell>
        </row>
        <row r="1416">
          <cell r="A1416" t="str">
            <v/>
          </cell>
        </row>
        <row r="1417">
          <cell r="A1417" t="str">
            <v/>
          </cell>
        </row>
        <row r="1418">
          <cell r="A1418" t="str">
            <v/>
          </cell>
        </row>
        <row r="1419">
          <cell r="A1419" t="str">
            <v/>
          </cell>
        </row>
        <row r="1420">
          <cell r="A1420" t="str">
            <v/>
          </cell>
        </row>
        <row r="1421">
          <cell r="A1421" t="str">
            <v/>
          </cell>
        </row>
        <row r="1422">
          <cell r="A1422" t="str">
            <v/>
          </cell>
        </row>
        <row r="1423">
          <cell r="A1423" t="str">
            <v/>
          </cell>
        </row>
        <row r="1424">
          <cell r="A1424" t="str">
            <v/>
          </cell>
        </row>
        <row r="1425">
          <cell r="A1425" t="str">
            <v/>
          </cell>
        </row>
        <row r="1426">
          <cell r="A1426" t="str">
            <v/>
          </cell>
        </row>
        <row r="1427">
          <cell r="A1427" t="str">
            <v/>
          </cell>
        </row>
        <row r="1428">
          <cell r="A1428" t="str">
            <v/>
          </cell>
        </row>
        <row r="1429">
          <cell r="A1429" t="str">
            <v/>
          </cell>
        </row>
        <row r="1430">
          <cell r="A1430" t="str">
            <v/>
          </cell>
        </row>
        <row r="1431">
          <cell r="A1431" t="str">
            <v/>
          </cell>
        </row>
        <row r="1432">
          <cell r="A1432" t="str">
            <v/>
          </cell>
        </row>
        <row r="1433">
          <cell r="A1433" t="str">
            <v/>
          </cell>
        </row>
        <row r="1434">
          <cell r="A1434" t="str">
            <v/>
          </cell>
        </row>
        <row r="1435">
          <cell r="A1435" t="str">
            <v/>
          </cell>
        </row>
        <row r="1436">
          <cell r="A1436" t="str">
            <v/>
          </cell>
        </row>
        <row r="1437">
          <cell r="A1437" t="str">
            <v/>
          </cell>
        </row>
        <row r="1438">
          <cell r="A1438" t="str">
            <v/>
          </cell>
        </row>
        <row r="1439">
          <cell r="A1439" t="str">
            <v/>
          </cell>
        </row>
        <row r="1440">
          <cell r="A1440" t="str">
            <v/>
          </cell>
        </row>
        <row r="1441">
          <cell r="A1441" t="str">
            <v/>
          </cell>
        </row>
        <row r="1442">
          <cell r="A1442" t="str">
            <v/>
          </cell>
        </row>
        <row r="1443">
          <cell r="A1443" t="str">
            <v/>
          </cell>
        </row>
        <row r="1444">
          <cell r="A1444" t="str">
            <v/>
          </cell>
        </row>
        <row r="1445">
          <cell r="A1445" t="str">
            <v/>
          </cell>
        </row>
        <row r="1446">
          <cell r="A1446" t="str">
            <v/>
          </cell>
        </row>
        <row r="1447">
          <cell r="A1447" t="str">
            <v/>
          </cell>
        </row>
        <row r="1448">
          <cell r="A1448" t="str">
            <v/>
          </cell>
        </row>
        <row r="1449">
          <cell r="A1449" t="str">
            <v/>
          </cell>
        </row>
        <row r="1450">
          <cell r="A1450" t="str">
            <v/>
          </cell>
        </row>
        <row r="1451">
          <cell r="A1451" t="str">
            <v/>
          </cell>
        </row>
        <row r="1452">
          <cell r="A1452" t="str">
            <v/>
          </cell>
        </row>
        <row r="1453">
          <cell r="A1453" t="str">
            <v/>
          </cell>
        </row>
        <row r="1454">
          <cell r="A1454" t="str">
            <v/>
          </cell>
        </row>
        <row r="1455">
          <cell r="A1455" t="str">
            <v/>
          </cell>
        </row>
        <row r="1456">
          <cell r="A1456" t="str">
            <v/>
          </cell>
        </row>
        <row r="1457">
          <cell r="A1457" t="str">
            <v/>
          </cell>
        </row>
        <row r="1458">
          <cell r="A1458" t="str">
            <v/>
          </cell>
        </row>
        <row r="1459">
          <cell r="A1459" t="str">
            <v/>
          </cell>
        </row>
        <row r="1460">
          <cell r="A1460" t="str">
            <v/>
          </cell>
        </row>
        <row r="1461">
          <cell r="A1461" t="str">
            <v/>
          </cell>
        </row>
        <row r="1462">
          <cell r="A1462" t="str">
            <v/>
          </cell>
        </row>
        <row r="1463">
          <cell r="A1463" t="str">
            <v/>
          </cell>
        </row>
        <row r="1464">
          <cell r="A1464" t="str">
            <v/>
          </cell>
        </row>
        <row r="1465">
          <cell r="A1465" t="str">
            <v/>
          </cell>
        </row>
        <row r="1466">
          <cell r="A1466" t="str">
            <v/>
          </cell>
        </row>
        <row r="1467">
          <cell r="A1467" t="str">
            <v/>
          </cell>
        </row>
        <row r="1468">
          <cell r="A1468" t="str">
            <v/>
          </cell>
        </row>
        <row r="1469">
          <cell r="A1469" t="str">
            <v/>
          </cell>
        </row>
        <row r="1470">
          <cell r="A1470" t="str">
            <v/>
          </cell>
        </row>
        <row r="1471">
          <cell r="A1471" t="str">
            <v/>
          </cell>
        </row>
        <row r="1472">
          <cell r="A1472" t="str">
            <v/>
          </cell>
        </row>
        <row r="1473">
          <cell r="A1473" t="str">
            <v/>
          </cell>
        </row>
        <row r="1474">
          <cell r="A1474" t="str">
            <v/>
          </cell>
        </row>
        <row r="1475">
          <cell r="A1475" t="str">
            <v/>
          </cell>
        </row>
        <row r="1476">
          <cell r="A1476" t="str">
            <v/>
          </cell>
        </row>
        <row r="1477">
          <cell r="A1477" t="str">
            <v/>
          </cell>
        </row>
        <row r="1478">
          <cell r="A1478" t="str">
            <v/>
          </cell>
        </row>
        <row r="1479">
          <cell r="A1479" t="str">
            <v/>
          </cell>
        </row>
        <row r="1480">
          <cell r="A1480" t="str">
            <v/>
          </cell>
        </row>
        <row r="1481">
          <cell r="A1481" t="str">
            <v/>
          </cell>
        </row>
        <row r="1482">
          <cell r="A1482" t="str">
            <v/>
          </cell>
        </row>
        <row r="1483">
          <cell r="A1483" t="str">
            <v/>
          </cell>
        </row>
        <row r="1484">
          <cell r="A1484" t="str">
            <v/>
          </cell>
        </row>
        <row r="1485">
          <cell r="A1485" t="str">
            <v/>
          </cell>
        </row>
        <row r="1486">
          <cell r="A1486" t="str">
            <v/>
          </cell>
        </row>
        <row r="1487">
          <cell r="A1487" t="str">
            <v/>
          </cell>
        </row>
        <row r="1488">
          <cell r="A1488" t="str">
            <v/>
          </cell>
        </row>
        <row r="1489">
          <cell r="A1489" t="str">
            <v/>
          </cell>
        </row>
        <row r="1490">
          <cell r="A1490" t="str">
            <v/>
          </cell>
        </row>
        <row r="1491">
          <cell r="A1491" t="str">
            <v/>
          </cell>
        </row>
        <row r="1492">
          <cell r="A1492" t="str">
            <v/>
          </cell>
        </row>
        <row r="1493">
          <cell r="A1493" t="str">
            <v/>
          </cell>
        </row>
        <row r="1494">
          <cell r="A1494" t="str">
            <v/>
          </cell>
        </row>
        <row r="1495">
          <cell r="A1495" t="str">
            <v/>
          </cell>
        </row>
        <row r="1496">
          <cell r="A1496" t="str">
            <v/>
          </cell>
        </row>
        <row r="1497">
          <cell r="A1497" t="str">
            <v/>
          </cell>
        </row>
        <row r="1498">
          <cell r="A1498" t="str">
            <v/>
          </cell>
        </row>
        <row r="1499">
          <cell r="A1499" t="str">
            <v/>
          </cell>
        </row>
        <row r="1500">
          <cell r="A1500" t="str">
            <v/>
          </cell>
        </row>
        <row r="1501">
          <cell r="A1501" t="str">
            <v/>
          </cell>
        </row>
        <row r="1502">
          <cell r="A1502" t="str">
            <v/>
          </cell>
        </row>
        <row r="1503">
          <cell r="A1503" t="str">
            <v/>
          </cell>
        </row>
        <row r="1504">
          <cell r="A1504" t="str">
            <v/>
          </cell>
        </row>
        <row r="1505">
          <cell r="A1505" t="str">
            <v/>
          </cell>
        </row>
        <row r="1506">
          <cell r="A1506" t="str">
            <v/>
          </cell>
        </row>
        <row r="1507">
          <cell r="A1507" t="str">
            <v/>
          </cell>
        </row>
        <row r="1508">
          <cell r="A1508" t="str">
            <v/>
          </cell>
        </row>
        <row r="1509">
          <cell r="A1509" t="str">
            <v/>
          </cell>
        </row>
        <row r="1510">
          <cell r="A1510" t="str">
            <v/>
          </cell>
        </row>
        <row r="1511">
          <cell r="A1511" t="str">
            <v/>
          </cell>
        </row>
        <row r="1512">
          <cell r="A1512" t="str">
            <v/>
          </cell>
        </row>
        <row r="1513">
          <cell r="A1513" t="str">
            <v/>
          </cell>
        </row>
        <row r="1514">
          <cell r="A1514" t="str">
            <v/>
          </cell>
        </row>
        <row r="1515">
          <cell r="A1515" t="str">
            <v/>
          </cell>
        </row>
        <row r="1516">
          <cell r="A1516" t="str">
            <v/>
          </cell>
        </row>
        <row r="1517">
          <cell r="A1517" t="str">
            <v/>
          </cell>
        </row>
        <row r="1518">
          <cell r="A1518" t="str">
            <v/>
          </cell>
        </row>
        <row r="1519">
          <cell r="A1519" t="str">
            <v/>
          </cell>
        </row>
        <row r="1520">
          <cell r="A1520" t="str">
            <v/>
          </cell>
        </row>
        <row r="1521">
          <cell r="A1521" t="str">
            <v/>
          </cell>
        </row>
        <row r="1522">
          <cell r="A1522" t="str">
            <v/>
          </cell>
        </row>
        <row r="1523">
          <cell r="A1523" t="str">
            <v/>
          </cell>
        </row>
        <row r="1524">
          <cell r="A1524" t="str">
            <v/>
          </cell>
        </row>
        <row r="1525">
          <cell r="A1525" t="str">
            <v/>
          </cell>
        </row>
        <row r="1526">
          <cell r="A1526" t="str">
            <v/>
          </cell>
        </row>
        <row r="1527">
          <cell r="A1527" t="str">
            <v/>
          </cell>
        </row>
        <row r="1528">
          <cell r="A1528" t="str">
            <v/>
          </cell>
        </row>
        <row r="1529">
          <cell r="A1529" t="str">
            <v/>
          </cell>
        </row>
        <row r="1530">
          <cell r="A1530" t="str">
            <v/>
          </cell>
        </row>
        <row r="1531">
          <cell r="A1531" t="str">
            <v/>
          </cell>
        </row>
        <row r="1532">
          <cell r="A1532" t="str">
            <v/>
          </cell>
        </row>
        <row r="1533">
          <cell r="A1533" t="str">
            <v/>
          </cell>
        </row>
        <row r="1534">
          <cell r="A1534" t="str">
            <v/>
          </cell>
        </row>
        <row r="1535">
          <cell r="A1535" t="str">
            <v/>
          </cell>
        </row>
        <row r="1536">
          <cell r="A1536" t="str">
            <v/>
          </cell>
        </row>
        <row r="1537">
          <cell r="A1537" t="str">
            <v/>
          </cell>
        </row>
        <row r="1538">
          <cell r="A1538" t="str">
            <v/>
          </cell>
        </row>
        <row r="1539">
          <cell r="A1539" t="str">
            <v/>
          </cell>
        </row>
        <row r="1540">
          <cell r="A1540" t="str">
            <v/>
          </cell>
        </row>
        <row r="1541">
          <cell r="A1541" t="str">
            <v/>
          </cell>
        </row>
        <row r="1542">
          <cell r="A1542" t="str">
            <v/>
          </cell>
        </row>
        <row r="1543">
          <cell r="A1543" t="str">
            <v/>
          </cell>
        </row>
        <row r="1544">
          <cell r="A1544" t="str">
            <v/>
          </cell>
        </row>
        <row r="1545">
          <cell r="A1545" t="str">
            <v/>
          </cell>
        </row>
        <row r="1546">
          <cell r="A1546" t="str">
            <v/>
          </cell>
        </row>
        <row r="1547">
          <cell r="A1547" t="str">
            <v/>
          </cell>
        </row>
        <row r="1548">
          <cell r="A1548" t="str">
            <v/>
          </cell>
        </row>
        <row r="1549">
          <cell r="A1549" t="str">
            <v/>
          </cell>
        </row>
        <row r="1550">
          <cell r="A1550" t="str">
            <v/>
          </cell>
        </row>
        <row r="1551">
          <cell r="A1551" t="str">
            <v/>
          </cell>
        </row>
        <row r="1552">
          <cell r="A1552" t="str">
            <v/>
          </cell>
        </row>
        <row r="1553">
          <cell r="A1553" t="str">
            <v/>
          </cell>
        </row>
        <row r="1554">
          <cell r="A1554" t="str">
            <v/>
          </cell>
        </row>
        <row r="1555">
          <cell r="A1555" t="str">
            <v/>
          </cell>
        </row>
        <row r="1556">
          <cell r="A1556" t="str">
            <v/>
          </cell>
        </row>
        <row r="1557">
          <cell r="A1557" t="str">
            <v/>
          </cell>
        </row>
        <row r="1558">
          <cell r="A1558" t="str">
            <v/>
          </cell>
        </row>
        <row r="1559">
          <cell r="A1559" t="str">
            <v/>
          </cell>
        </row>
        <row r="1560">
          <cell r="A1560" t="str">
            <v/>
          </cell>
        </row>
        <row r="1561">
          <cell r="A1561" t="str">
            <v/>
          </cell>
        </row>
        <row r="1562">
          <cell r="A1562" t="str">
            <v/>
          </cell>
        </row>
        <row r="1563">
          <cell r="A1563" t="str">
            <v/>
          </cell>
        </row>
        <row r="1564">
          <cell r="A1564" t="str">
            <v/>
          </cell>
        </row>
        <row r="1565">
          <cell r="A1565" t="str">
            <v/>
          </cell>
        </row>
        <row r="1566">
          <cell r="A1566" t="str">
            <v/>
          </cell>
        </row>
        <row r="1567">
          <cell r="A1567" t="str">
            <v/>
          </cell>
        </row>
        <row r="1568">
          <cell r="A1568" t="str">
            <v/>
          </cell>
        </row>
        <row r="1569">
          <cell r="A1569" t="str">
            <v/>
          </cell>
        </row>
        <row r="1570">
          <cell r="A1570" t="str">
            <v/>
          </cell>
        </row>
        <row r="1571">
          <cell r="A1571" t="str">
            <v/>
          </cell>
        </row>
        <row r="1572">
          <cell r="A1572" t="str">
            <v/>
          </cell>
        </row>
        <row r="1573">
          <cell r="A1573" t="str">
            <v/>
          </cell>
        </row>
        <row r="1574">
          <cell r="A1574" t="str">
            <v/>
          </cell>
        </row>
        <row r="1575">
          <cell r="A1575" t="str">
            <v/>
          </cell>
        </row>
        <row r="1576">
          <cell r="A1576" t="str">
            <v/>
          </cell>
        </row>
        <row r="1577">
          <cell r="A1577" t="str">
            <v/>
          </cell>
        </row>
        <row r="1578">
          <cell r="A1578" t="str">
            <v/>
          </cell>
        </row>
        <row r="1579">
          <cell r="A1579" t="str">
            <v/>
          </cell>
        </row>
        <row r="1580">
          <cell r="A1580" t="str">
            <v/>
          </cell>
        </row>
        <row r="1581">
          <cell r="A1581" t="str">
            <v/>
          </cell>
        </row>
        <row r="1582">
          <cell r="A1582" t="str">
            <v/>
          </cell>
        </row>
        <row r="1583">
          <cell r="A1583" t="str">
            <v/>
          </cell>
        </row>
        <row r="1584">
          <cell r="A1584" t="str">
            <v/>
          </cell>
        </row>
        <row r="1585">
          <cell r="A1585" t="str">
            <v/>
          </cell>
        </row>
        <row r="1586">
          <cell r="A1586" t="str">
            <v/>
          </cell>
        </row>
        <row r="1587">
          <cell r="A1587" t="str">
            <v/>
          </cell>
        </row>
        <row r="1588">
          <cell r="A1588" t="str">
            <v/>
          </cell>
        </row>
        <row r="1589">
          <cell r="A1589" t="str">
            <v/>
          </cell>
        </row>
        <row r="1590">
          <cell r="A1590" t="str">
            <v/>
          </cell>
        </row>
        <row r="1591">
          <cell r="A1591" t="str">
            <v/>
          </cell>
        </row>
        <row r="1592">
          <cell r="A1592" t="str">
            <v/>
          </cell>
        </row>
        <row r="1593">
          <cell r="A1593" t="str">
            <v/>
          </cell>
        </row>
        <row r="1594">
          <cell r="A1594" t="str">
            <v/>
          </cell>
        </row>
        <row r="1595">
          <cell r="A1595" t="str">
            <v/>
          </cell>
        </row>
        <row r="1596">
          <cell r="A1596" t="str">
            <v/>
          </cell>
        </row>
        <row r="1597">
          <cell r="A1597" t="str">
            <v/>
          </cell>
        </row>
        <row r="1598">
          <cell r="A1598" t="str">
            <v/>
          </cell>
        </row>
        <row r="1599">
          <cell r="A1599" t="str">
            <v/>
          </cell>
        </row>
        <row r="1600">
          <cell r="A1600" t="str">
            <v/>
          </cell>
        </row>
        <row r="1601">
          <cell r="A1601" t="str">
            <v/>
          </cell>
        </row>
        <row r="1602">
          <cell r="A1602" t="str">
            <v/>
          </cell>
        </row>
        <row r="1603">
          <cell r="A1603" t="str">
            <v/>
          </cell>
        </row>
        <row r="1604">
          <cell r="A1604" t="str">
            <v/>
          </cell>
        </row>
        <row r="1605">
          <cell r="A1605" t="str">
            <v/>
          </cell>
        </row>
        <row r="1606">
          <cell r="A1606" t="str">
            <v/>
          </cell>
        </row>
        <row r="1607">
          <cell r="A1607" t="str">
            <v/>
          </cell>
        </row>
        <row r="1608">
          <cell r="A1608" t="str">
            <v/>
          </cell>
        </row>
        <row r="1609">
          <cell r="A1609" t="str">
            <v/>
          </cell>
        </row>
        <row r="1610">
          <cell r="A1610" t="str">
            <v/>
          </cell>
        </row>
        <row r="1611">
          <cell r="A1611" t="str">
            <v/>
          </cell>
        </row>
        <row r="1612">
          <cell r="A1612" t="str">
            <v/>
          </cell>
        </row>
        <row r="1613">
          <cell r="A1613" t="str">
            <v/>
          </cell>
        </row>
        <row r="1614">
          <cell r="A1614" t="str">
            <v/>
          </cell>
        </row>
        <row r="1615">
          <cell r="A1615" t="str">
            <v/>
          </cell>
        </row>
        <row r="1616">
          <cell r="A1616" t="str">
            <v/>
          </cell>
        </row>
        <row r="1617">
          <cell r="A1617" t="str">
            <v/>
          </cell>
        </row>
        <row r="1618">
          <cell r="A1618" t="str">
            <v/>
          </cell>
        </row>
        <row r="1619">
          <cell r="A1619" t="str">
            <v/>
          </cell>
        </row>
        <row r="1620">
          <cell r="A1620" t="str">
            <v/>
          </cell>
        </row>
        <row r="1621">
          <cell r="A1621" t="str">
            <v/>
          </cell>
        </row>
        <row r="1622">
          <cell r="A1622" t="str">
            <v/>
          </cell>
        </row>
        <row r="1623">
          <cell r="A1623" t="str">
            <v/>
          </cell>
        </row>
        <row r="1624">
          <cell r="A1624" t="str">
            <v/>
          </cell>
        </row>
        <row r="1625">
          <cell r="A1625" t="str">
            <v/>
          </cell>
        </row>
        <row r="1626">
          <cell r="A1626" t="str">
            <v/>
          </cell>
        </row>
        <row r="1627">
          <cell r="A1627" t="str">
            <v/>
          </cell>
        </row>
        <row r="1628">
          <cell r="A1628" t="str">
            <v/>
          </cell>
        </row>
        <row r="1629">
          <cell r="A1629" t="str">
            <v/>
          </cell>
        </row>
        <row r="1630">
          <cell r="A1630" t="str">
            <v/>
          </cell>
        </row>
        <row r="1631">
          <cell r="A1631" t="str">
            <v/>
          </cell>
        </row>
        <row r="1632">
          <cell r="A1632" t="str">
            <v/>
          </cell>
        </row>
        <row r="1633">
          <cell r="A1633" t="str">
            <v/>
          </cell>
        </row>
        <row r="1634">
          <cell r="A1634" t="str">
            <v/>
          </cell>
        </row>
        <row r="1635">
          <cell r="A1635" t="str">
            <v/>
          </cell>
        </row>
        <row r="1636">
          <cell r="A1636" t="str">
            <v/>
          </cell>
        </row>
        <row r="1637">
          <cell r="A1637" t="str">
            <v/>
          </cell>
        </row>
        <row r="1638">
          <cell r="A1638" t="str">
            <v/>
          </cell>
        </row>
        <row r="1639">
          <cell r="A1639" t="str">
            <v/>
          </cell>
        </row>
        <row r="1640">
          <cell r="A1640" t="str">
            <v/>
          </cell>
        </row>
        <row r="1641">
          <cell r="A1641" t="str">
            <v/>
          </cell>
        </row>
        <row r="1642">
          <cell r="A1642" t="str">
            <v/>
          </cell>
        </row>
        <row r="1643">
          <cell r="A1643" t="str">
            <v/>
          </cell>
        </row>
        <row r="1644">
          <cell r="A1644" t="str">
            <v/>
          </cell>
        </row>
        <row r="1645">
          <cell r="A1645" t="str">
            <v/>
          </cell>
        </row>
        <row r="1646">
          <cell r="A1646" t="str">
            <v/>
          </cell>
        </row>
        <row r="1647">
          <cell r="A1647" t="str">
            <v/>
          </cell>
        </row>
        <row r="1648">
          <cell r="A1648" t="str">
            <v/>
          </cell>
        </row>
        <row r="1649">
          <cell r="A1649" t="str">
            <v/>
          </cell>
        </row>
        <row r="1650">
          <cell r="A1650" t="str">
            <v/>
          </cell>
        </row>
        <row r="1651">
          <cell r="A1651" t="str">
            <v/>
          </cell>
        </row>
        <row r="1652">
          <cell r="A1652" t="str">
            <v/>
          </cell>
        </row>
        <row r="1653">
          <cell r="A1653" t="str">
            <v/>
          </cell>
        </row>
        <row r="1654">
          <cell r="A1654" t="str">
            <v/>
          </cell>
        </row>
        <row r="1655">
          <cell r="A1655" t="str">
            <v/>
          </cell>
        </row>
        <row r="1656">
          <cell r="A1656" t="str">
            <v/>
          </cell>
        </row>
        <row r="1657">
          <cell r="A1657" t="str">
            <v/>
          </cell>
        </row>
        <row r="1658">
          <cell r="A1658" t="str">
            <v/>
          </cell>
        </row>
        <row r="1659">
          <cell r="A1659" t="str">
            <v/>
          </cell>
        </row>
        <row r="1660">
          <cell r="A1660" t="str">
            <v/>
          </cell>
        </row>
        <row r="1661">
          <cell r="A1661" t="str">
            <v/>
          </cell>
        </row>
        <row r="1662">
          <cell r="A1662" t="str">
            <v/>
          </cell>
        </row>
        <row r="1663">
          <cell r="A1663" t="str">
            <v/>
          </cell>
        </row>
        <row r="1664">
          <cell r="A1664" t="str">
            <v/>
          </cell>
        </row>
        <row r="1665">
          <cell r="A1665" t="str">
            <v/>
          </cell>
        </row>
        <row r="1666">
          <cell r="A1666" t="str">
            <v/>
          </cell>
        </row>
        <row r="1667">
          <cell r="A1667" t="str">
            <v/>
          </cell>
        </row>
        <row r="1668">
          <cell r="A1668" t="str">
            <v/>
          </cell>
        </row>
        <row r="1669">
          <cell r="A1669" t="str">
            <v/>
          </cell>
        </row>
        <row r="1670">
          <cell r="A1670" t="str">
            <v/>
          </cell>
        </row>
        <row r="1671">
          <cell r="A1671" t="str">
            <v/>
          </cell>
        </row>
        <row r="1672">
          <cell r="A1672" t="str">
            <v/>
          </cell>
        </row>
        <row r="1673">
          <cell r="A1673" t="str">
            <v/>
          </cell>
        </row>
        <row r="1674">
          <cell r="A1674" t="str">
            <v/>
          </cell>
        </row>
        <row r="1675">
          <cell r="A1675" t="str">
            <v/>
          </cell>
        </row>
        <row r="1676">
          <cell r="A1676" t="str">
            <v/>
          </cell>
        </row>
        <row r="1677">
          <cell r="A1677" t="str">
            <v/>
          </cell>
        </row>
        <row r="1678">
          <cell r="A1678" t="str">
            <v/>
          </cell>
        </row>
        <row r="1679">
          <cell r="A1679" t="str">
            <v/>
          </cell>
        </row>
        <row r="1680">
          <cell r="A1680" t="str">
            <v/>
          </cell>
        </row>
        <row r="1681">
          <cell r="A1681" t="str">
            <v/>
          </cell>
        </row>
        <row r="1682">
          <cell r="A1682" t="str">
            <v/>
          </cell>
        </row>
        <row r="1683">
          <cell r="A1683" t="str">
            <v/>
          </cell>
        </row>
        <row r="1684">
          <cell r="A1684" t="str">
            <v/>
          </cell>
        </row>
        <row r="1685">
          <cell r="A1685" t="str">
            <v/>
          </cell>
        </row>
        <row r="1686">
          <cell r="A1686" t="str">
            <v/>
          </cell>
        </row>
        <row r="1687">
          <cell r="A1687" t="str">
            <v/>
          </cell>
        </row>
        <row r="1688">
          <cell r="A1688" t="str">
            <v/>
          </cell>
        </row>
        <row r="1689">
          <cell r="A1689" t="str">
            <v/>
          </cell>
        </row>
        <row r="1690">
          <cell r="A1690" t="str">
            <v/>
          </cell>
        </row>
        <row r="1691">
          <cell r="A1691" t="str">
            <v/>
          </cell>
        </row>
        <row r="1692">
          <cell r="A1692" t="str">
            <v/>
          </cell>
        </row>
        <row r="1693">
          <cell r="A1693" t="str">
            <v/>
          </cell>
        </row>
        <row r="1694">
          <cell r="A1694" t="str">
            <v/>
          </cell>
        </row>
        <row r="1695">
          <cell r="A1695" t="str">
            <v/>
          </cell>
        </row>
        <row r="1696">
          <cell r="A1696" t="str">
            <v/>
          </cell>
        </row>
        <row r="1697">
          <cell r="A1697" t="str">
            <v/>
          </cell>
        </row>
        <row r="1698">
          <cell r="A1698" t="str">
            <v/>
          </cell>
        </row>
        <row r="1699">
          <cell r="A1699" t="str">
            <v/>
          </cell>
        </row>
        <row r="1700">
          <cell r="A1700" t="str">
            <v/>
          </cell>
        </row>
        <row r="1701">
          <cell r="A1701" t="str">
            <v/>
          </cell>
        </row>
        <row r="1702">
          <cell r="A1702" t="str">
            <v/>
          </cell>
        </row>
        <row r="1703">
          <cell r="A1703" t="str">
            <v/>
          </cell>
        </row>
        <row r="1704">
          <cell r="A1704" t="str">
            <v/>
          </cell>
        </row>
        <row r="1705">
          <cell r="A1705" t="str">
            <v/>
          </cell>
        </row>
        <row r="1706">
          <cell r="A1706" t="str">
            <v/>
          </cell>
        </row>
        <row r="1707">
          <cell r="A1707" t="str">
            <v/>
          </cell>
        </row>
        <row r="1708">
          <cell r="A1708" t="str">
            <v/>
          </cell>
        </row>
        <row r="1709">
          <cell r="A1709" t="str">
            <v/>
          </cell>
        </row>
        <row r="1710">
          <cell r="A1710" t="str">
            <v/>
          </cell>
        </row>
        <row r="1711">
          <cell r="A1711" t="str">
            <v/>
          </cell>
        </row>
        <row r="1712">
          <cell r="A1712" t="str">
            <v/>
          </cell>
        </row>
        <row r="1713">
          <cell r="A1713" t="str">
            <v/>
          </cell>
        </row>
        <row r="1714">
          <cell r="A1714" t="str">
            <v/>
          </cell>
        </row>
        <row r="1715">
          <cell r="A1715" t="str">
            <v/>
          </cell>
        </row>
        <row r="1716">
          <cell r="A1716" t="str">
            <v/>
          </cell>
        </row>
        <row r="1717">
          <cell r="A1717" t="str">
            <v/>
          </cell>
        </row>
        <row r="1718">
          <cell r="A1718" t="str">
            <v/>
          </cell>
        </row>
        <row r="1719">
          <cell r="A1719" t="str">
            <v/>
          </cell>
        </row>
        <row r="1720">
          <cell r="A1720" t="str">
            <v/>
          </cell>
        </row>
        <row r="1721">
          <cell r="A1721" t="str">
            <v/>
          </cell>
        </row>
        <row r="1722">
          <cell r="A1722" t="str">
            <v/>
          </cell>
        </row>
        <row r="1723">
          <cell r="A1723" t="str">
            <v/>
          </cell>
        </row>
        <row r="1724">
          <cell r="A1724" t="str">
            <v/>
          </cell>
        </row>
        <row r="1725">
          <cell r="A1725" t="str">
            <v/>
          </cell>
        </row>
        <row r="1726">
          <cell r="A1726" t="str">
            <v/>
          </cell>
        </row>
        <row r="1727">
          <cell r="A1727" t="str">
            <v/>
          </cell>
        </row>
        <row r="1728">
          <cell r="A1728" t="str">
            <v/>
          </cell>
        </row>
        <row r="1729">
          <cell r="A1729" t="str">
            <v/>
          </cell>
        </row>
        <row r="1730">
          <cell r="A1730" t="str">
            <v/>
          </cell>
        </row>
        <row r="1731">
          <cell r="A1731" t="str">
            <v/>
          </cell>
        </row>
        <row r="1732">
          <cell r="A1732" t="str">
            <v/>
          </cell>
        </row>
        <row r="1733">
          <cell r="A1733" t="str">
            <v/>
          </cell>
        </row>
        <row r="1734">
          <cell r="A1734" t="str">
            <v/>
          </cell>
        </row>
        <row r="1735">
          <cell r="A1735" t="str">
            <v/>
          </cell>
        </row>
        <row r="1736">
          <cell r="A1736" t="str">
            <v/>
          </cell>
        </row>
        <row r="1737">
          <cell r="A1737" t="str">
            <v/>
          </cell>
        </row>
        <row r="1738">
          <cell r="A1738" t="str">
            <v/>
          </cell>
        </row>
        <row r="1739">
          <cell r="A1739" t="str">
            <v/>
          </cell>
        </row>
        <row r="1740">
          <cell r="A1740" t="str">
            <v/>
          </cell>
        </row>
        <row r="1741">
          <cell r="A1741" t="str">
            <v/>
          </cell>
        </row>
        <row r="1742">
          <cell r="A1742" t="str">
            <v/>
          </cell>
        </row>
        <row r="1743">
          <cell r="A1743" t="str">
            <v/>
          </cell>
        </row>
        <row r="1744">
          <cell r="A1744" t="str">
            <v/>
          </cell>
        </row>
        <row r="1745">
          <cell r="A1745" t="str">
            <v/>
          </cell>
        </row>
        <row r="1746">
          <cell r="A1746" t="str">
            <v/>
          </cell>
        </row>
        <row r="1747">
          <cell r="A1747" t="str">
            <v/>
          </cell>
        </row>
        <row r="1748">
          <cell r="A1748" t="str">
            <v/>
          </cell>
        </row>
        <row r="1749">
          <cell r="A1749" t="str">
            <v/>
          </cell>
        </row>
        <row r="1750">
          <cell r="A1750" t="str">
            <v/>
          </cell>
        </row>
        <row r="1751">
          <cell r="A1751" t="str">
            <v/>
          </cell>
        </row>
        <row r="1752">
          <cell r="A1752" t="str">
            <v/>
          </cell>
        </row>
        <row r="1753">
          <cell r="A1753" t="str">
            <v/>
          </cell>
        </row>
        <row r="1754">
          <cell r="A1754" t="str">
            <v/>
          </cell>
        </row>
        <row r="1755">
          <cell r="A1755" t="str">
            <v/>
          </cell>
        </row>
        <row r="1756">
          <cell r="A1756" t="str">
            <v/>
          </cell>
        </row>
        <row r="1757">
          <cell r="A1757" t="str">
            <v/>
          </cell>
        </row>
        <row r="1758">
          <cell r="A1758" t="str">
            <v/>
          </cell>
        </row>
        <row r="1759">
          <cell r="A1759" t="str">
            <v/>
          </cell>
        </row>
        <row r="1760">
          <cell r="A1760" t="str">
            <v/>
          </cell>
        </row>
        <row r="1761">
          <cell r="A1761" t="str">
            <v/>
          </cell>
        </row>
        <row r="1762">
          <cell r="A1762" t="str">
            <v/>
          </cell>
        </row>
        <row r="1763">
          <cell r="A1763" t="str">
            <v/>
          </cell>
        </row>
        <row r="1764">
          <cell r="A1764" t="str">
            <v/>
          </cell>
        </row>
        <row r="1765">
          <cell r="A1765" t="str">
            <v/>
          </cell>
        </row>
        <row r="1766">
          <cell r="A1766" t="str">
            <v/>
          </cell>
        </row>
        <row r="1767">
          <cell r="A1767" t="str">
            <v/>
          </cell>
        </row>
        <row r="1768">
          <cell r="A1768" t="str">
            <v/>
          </cell>
        </row>
        <row r="1769">
          <cell r="A1769" t="str">
            <v/>
          </cell>
        </row>
        <row r="1770">
          <cell r="A1770" t="str">
            <v/>
          </cell>
        </row>
        <row r="1771">
          <cell r="A1771" t="str">
            <v/>
          </cell>
        </row>
        <row r="1772">
          <cell r="A1772" t="str">
            <v/>
          </cell>
        </row>
        <row r="1773">
          <cell r="A1773" t="str">
            <v/>
          </cell>
        </row>
        <row r="1774">
          <cell r="A1774" t="str">
            <v/>
          </cell>
        </row>
        <row r="1775">
          <cell r="A1775" t="str">
            <v/>
          </cell>
        </row>
        <row r="1776">
          <cell r="A1776" t="str">
            <v/>
          </cell>
        </row>
        <row r="1777">
          <cell r="A1777" t="str">
            <v/>
          </cell>
        </row>
        <row r="1778">
          <cell r="A1778" t="str">
            <v/>
          </cell>
        </row>
        <row r="1779">
          <cell r="A1779" t="str">
            <v/>
          </cell>
        </row>
        <row r="1780">
          <cell r="A1780" t="str">
            <v/>
          </cell>
        </row>
        <row r="1781">
          <cell r="A1781" t="str">
            <v/>
          </cell>
        </row>
        <row r="1782">
          <cell r="A1782" t="str">
            <v/>
          </cell>
        </row>
        <row r="1783">
          <cell r="A1783" t="str">
            <v/>
          </cell>
        </row>
        <row r="1784">
          <cell r="A1784" t="str">
            <v/>
          </cell>
        </row>
        <row r="1785">
          <cell r="A1785" t="str">
            <v/>
          </cell>
        </row>
        <row r="1786">
          <cell r="A1786" t="str">
            <v/>
          </cell>
        </row>
        <row r="1787">
          <cell r="A1787" t="str">
            <v/>
          </cell>
        </row>
        <row r="1788">
          <cell r="A1788" t="str">
            <v/>
          </cell>
        </row>
        <row r="1789">
          <cell r="A1789" t="str">
            <v/>
          </cell>
        </row>
        <row r="1790">
          <cell r="A1790" t="str">
            <v/>
          </cell>
        </row>
        <row r="1791">
          <cell r="A1791" t="str">
            <v/>
          </cell>
        </row>
        <row r="1792">
          <cell r="A1792" t="str">
            <v/>
          </cell>
        </row>
        <row r="1793">
          <cell r="A1793" t="str">
            <v/>
          </cell>
        </row>
        <row r="1794">
          <cell r="A1794" t="str">
            <v/>
          </cell>
        </row>
        <row r="1795">
          <cell r="A1795" t="str">
            <v/>
          </cell>
        </row>
        <row r="1796">
          <cell r="A1796" t="str">
            <v/>
          </cell>
        </row>
        <row r="1797">
          <cell r="A1797" t="str">
            <v/>
          </cell>
        </row>
        <row r="1798">
          <cell r="A1798" t="str">
            <v/>
          </cell>
        </row>
        <row r="1799">
          <cell r="A1799" t="str">
            <v/>
          </cell>
        </row>
        <row r="1800">
          <cell r="A1800" t="str">
            <v/>
          </cell>
        </row>
        <row r="1801">
          <cell r="A1801" t="str">
            <v/>
          </cell>
        </row>
        <row r="1802">
          <cell r="A1802" t="str">
            <v/>
          </cell>
        </row>
        <row r="1803">
          <cell r="A1803" t="str">
            <v/>
          </cell>
        </row>
        <row r="1804">
          <cell r="A1804" t="str">
            <v/>
          </cell>
        </row>
        <row r="1805">
          <cell r="A1805" t="str">
            <v/>
          </cell>
        </row>
        <row r="1806">
          <cell r="A1806" t="str">
            <v/>
          </cell>
        </row>
        <row r="1807">
          <cell r="A1807" t="str">
            <v/>
          </cell>
        </row>
        <row r="1808">
          <cell r="A1808" t="str">
            <v/>
          </cell>
        </row>
        <row r="1809">
          <cell r="A1809" t="str">
            <v/>
          </cell>
        </row>
        <row r="1810">
          <cell r="A1810" t="str">
            <v/>
          </cell>
        </row>
        <row r="1811">
          <cell r="A1811" t="str">
            <v/>
          </cell>
        </row>
        <row r="1812">
          <cell r="A1812" t="str">
            <v/>
          </cell>
        </row>
        <row r="1813">
          <cell r="A1813" t="str">
            <v/>
          </cell>
        </row>
        <row r="1814">
          <cell r="A1814" t="str">
            <v/>
          </cell>
        </row>
        <row r="1815">
          <cell r="A1815" t="str">
            <v/>
          </cell>
        </row>
        <row r="1816">
          <cell r="A1816" t="str">
            <v/>
          </cell>
        </row>
        <row r="1817">
          <cell r="A1817" t="str">
            <v/>
          </cell>
        </row>
        <row r="1818">
          <cell r="A1818" t="str">
            <v/>
          </cell>
        </row>
        <row r="1819">
          <cell r="A1819" t="str">
            <v/>
          </cell>
        </row>
        <row r="1820">
          <cell r="A1820" t="str">
            <v/>
          </cell>
        </row>
        <row r="1821">
          <cell r="A1821" t="str">
            <v/>
          </cell>
        </row>
        <row r="1822">
          <cell r="A1822" t="str">
            <v/>
          </cell>
        </row>
        <row r="1823">
          <cell r="A1823" t="str">
            <v/>
          </cell>
        </row>
        <row r="1824">
          <cell r="A1824" t="str">
            <v/>
          </cell>
        </row>
        <row r="1825">
          <cell r="A1825" t="str">
            <v/>
          </cell>
        </row>
        <row r="1826">
          <cell r="A1826" t="str">
            <v/>
          </cell>
        </row>
        <row r="1827">
          <cell r="A1827" t="str">
            <v/>
          </cell>
        </row>
        <row r="1828">
          <cell r="A1828" t="str">
            <v/>
          </cell>
        </row>
        <row r="1829">
          <cell r="A1829" t="str">
            <v/>
          </cell>
        </row>
        <row r="1830">
          <cell r="A1830" t="str">
            <v/>
          </cell>
        </row>
        <row r="1831">
          <cell r="A1831" t="str">
            <v/>
          </cell>
        </row>
        <row r="1832">
          <cell r="A1832" t="str">
            <v/>
          </cell>
        </row>
        <row r="1833">
          <cell r="A1833" t="str">
            <v/>
          </cell>
        </row>
        <row r="1834">
          <cell r="A1834" t="str">
            <v/>
          </cell>
        </row>
        <row r="1835">
          <cell r="A1835" t="str">
            <v/>
          </cell>
        </row>
        <row r="1836">
          <cell r="A1836" t="str">
            <v/>
          </cell>
        </row>
        <row r="1837">
          <cell r="A1837" t="str">
            <v/>
          </cell>
        </row>
        <row r="1838">
          <cell r="A1838" t="str">
            <v/>
          </cell>
        </row>
        <row r="1839">
          <cell r="A1839" t="str">
            <v/>
          </cell>
        </row>
        <row r="1840">
          <cell r="A1840" t="str">
            <v/>
          </cell>
        </row>
        <row r="1841">
          <cell r="A1841" t="str">
            <v/>
          </cell>
        </row>
        <row r="1842">
          <cell r="A1842" t="str">
            <v/>
          </cell>
        </row>
        <row r="1843">
          <cell r="A1843" t="str">
            <v/>
          </cell>
        </row>
        <row r="1844">
          <cell r="A1844" t="str">
            <v/>
          </cell>
        </row>
        <row r="1845">
          <cell r="A1845" t="str">
            <v/>
          </cell>
        </row>
        <row r="1846">
          <cell r="A1846" t="str">
            <v/>
          </cell>
        </row>
        <row r="1847">
          <cell r="A1847" t="str">
            <v/>
          </cell>
        </row>
        <row r="1848">
          <cell r="A1848" t="str">
            <v/>
          </cell>
        </row>
        <row r="1849">
          <cell r="A1849" t="str">
            <v/>
          </cell>
        </row>
        <row r="1850">
          <cell r="A1850" t="str">
            <v/>
          </cell>
        </row>
        <row r="1851">
          <cell r="A1851" t="str">
            <v/>
          </cell>
        </row>
        <row r="1852">
          <cell r="A1852" t="str">
            <v/>
          </cell>
        </row>
        <row r="1853">
          <cell r="A1853" t="str">
            <v/>
          </cell>
        </row>
        <row r="1854">
          <cell r="A1854" t="str">
            <v/>
          </cell>
        </row>
        <row r="1855">
          <cell r="A1855" t="str">
            <v/>
          </cell>
        </row>
        <row r="1856">
          <cell r="A1856" t="str">
            <v/>
          </cell>
        </row>
        <row r="1857">
          <cell r="A1857" t="str">
            <v/>
          </cell>
        </row>
        <row r="1858">
          <cell r="A1858" t="str">
            <v/>
          </cell>
        </row>
        <row r="1859">
          <cell r="A1859" t="str">
            <v/>
          </cell>
        </row>
        <row r="1860">
          <cell r="A1860" t="str">
            <v/>
          </cell>
        </row>
        <row r="1861">
          <cell r="A1861" t="str">
            <v/>
          </cell>
        </row>
        <row r="1862">
          <cell r="A1862" t="str">
            <v/>
          </cell>
        </row>
        <row r="1863">
          <cell r="A1863" t="str">
            <v/>
          </cell>
        </row>
        <row r="1864">
          <cell r="A1864" t="str">
            <v/>
          </cell>
        </row>
        <row r="1865">
          <cell r="A1865" t="str">
            <v/>
          </cell>
        </row>
        <row r="1866">
          <cell r="A1866" t="str">
            <v/>
          </cell>
        </row>
        <row r="1867">
          <cell r="A1867" t="str">
            <v/>
          </cell>
        </row>
        <row r="1868">
          <cell r="A1868" t="str">
            <v/>
          </cell>
        </row>
        <row r="1869">
          <cell r="A1869" t="str">
            <v/>
          </cell>
        </row>
        <row r="1870">
          <cell r="A1870" t="str">
            <v/>
          </cell>
        </row>
        <row r="1871">
          <cell r="A1871" t="str">
            <v/>
          </cell>
        </row>
        <row r="1872">
          <cell r="A1872" t="str">
            <v/>
          </cell>
        </row>
        <row r="1873">
          <cell r="A1873" t="str">
            <v/>
          </cell>
        </row>
        <row r="1874">
          <cell r="A1874" t="str">
            <v/>
          </cell>
        </row>
        <row r="1875">
          <cell r="A1875" t="str">
            <v/>
          </cell>
        </row>
        <row r="1876">
          <cell r="A1876" t="str">
            <v/>
          </cell>
        </row>
        <row r="1877">
          <cell r="A1877" t="str">
            <v/>
          </cell>
        </row>
        <row r="1878">
          <cell r="A1878" t="str">
            <v/>
          </cell>
        </row>
        <row r="1879">
          <cell r="A1879" t="str">
            <v/>
          </cell>
        </row>
        <row r="1880">
          <cell r="A1880" t="str">
            <v/>
          </cell>
        </row>
        <row r="1881">
          <cell r="A1881" t="str">
            <v/>
          </cell>
        </row>
        <row r="1882">
          <cell r="A1882" t="str">
            <v/>
          </cell>
        </row>
        <row r="1883">
          <cell r="A1883" t="str">
            <v/>
          </cell>
        </row>
        <row r="1884">
          <cell r="A1884" t="str">
            <v/>
          </cell>
        </row>
        <row r="1885">
          <cell r="A1885" t="str">
            <v/>
          </cell>
        </row>
        <row r="1886">
          <cell r="A1886" t="str">
            <v/>
          </cell>
        </row>
        <row r="1887">
          <cell r="A1887" t="str">
            <v/>
          </cell>
        </row>
        <row r="1888">
          <cell r="A1888" t="str">
            <v/>
          </cell>
        </row>
        <row r="1889">
          <cell r="A1889" t="str">
            <v/>
          </cell>
        </row>
        <row r="1890">
          <cell r="A1890" t="str">
            <v/>
          </cell>
        </row>
        <row r="1891">
          <cell r="A1891" t="str">
            <v/>
          </cell>
        </row>
        <row r="1892">
          <cell r="A1892" t="str">
            <v/>
          </cell>
        </row>
        <row r="1893">
          <cell r="A1893" t="str">
            <v/>
          </cell>
        </row>
        <row r="1894">
          <cell r="A1894" t="str">
            <v/>
          </cell>
        </row>
        <row r="1895">
          <cell r="A1895" t="str">
            <v/>
          </cell>
        </row>
        <row r="1896">
          <cell r="A1896" t="str">
            <v/>
          </cell>
        </row>
        <row r="1897">
          <cell r="A1897" t="str">
            <v/>
          </cell>
        </row>
        <row r="1898">
          <cell r="A1898" t="str">
            <v/>
          </cell>
        </row>
        <row r="1899">
          <cell r="A1899" t="str">
            <v/>
          </cell>
        </row>
        <row r="1900">
          <cell r="A1900" t="str">
            <v/>
          </cell>
        </row>
        <row r="1901">
          <cell r="A1901" t="str">
            <v/>
          </cell>
        </row>
        <row r="1902">
          <cell r="A1902" t="str">
            <v/>
          </cell>
        </row>
        <row r="1903">
          <cell r="A1903" t="str">
            <v/>
          </cell>
        </row>
        <row r="1904">
          <cell r="A1904" t="str">
            <v/>
          </cell>
        </row>
        <row r="1905">
          <cell r="A1905" t="str">
            <v/>
          </cell>
        </row>
        <row r="1906">
          <cell r="A1906" t="str">
            <v/>
          </cell>
        </row>
        <row r="1907">
          <cell r="A1907" t="str">
            <v/>
          </cell>
        </row>
        <row r="1908">
          <cell r="A1908" t="str">
            <v/>
          </cell>
        </row>
        <row r="1909">
          <cell r="A1909" t="str">
            <v/>
          </cell>
        </row>
        <row r="1910">
          <cell r="A1910" t="str">
            <v/>
          </cell>
        </row>
        <row r="1911">
          <cell r="A1911" t="str">
            <v/>
          </cell>
        </row>
        <row r="1912">
          <cell r="A1912" t="str">
            <v/>
          </cell>
        </row>
        <row r="1913">
          <cell r="A1913" t="str">
            <v/>
          </cell>
        </row>
        <row r="1914">
          <cell r="A1914" t="str">
            <v/>
          </cell>
        </row>
        <row r="1915">
          <cell r="A1915" t="str">
            <v/>
          </cell>
        </row>
        <row r="1916">
          <cell r="A1916" t="str">
            <v/>
          </cell>
        </row>
        <row r="1917">
          <cell r="A1917" t="str">
            <v/>
          </cell>
        </row>
        <row r="1918">
          <cell r="A1918" t="str">
            <v/>
          </cell>
        </row>
        <row r="1919">
          <cell r="A1919" t="str">
            <v/>
          </cell>
        </row>
        <row r="1920">
          <cell r="A1920" t="str">
            <v/>
          </cell>
        </row>
        <row r="1921">
          <cell r="A1921" t="str">
            <v/>
          </cell>
        </row>
        <row r="1922">
          <cell r="A1922" t="str">
            <v/>
          </cell>
        </row>
        <row r="1923">
          <cell r="A1923" t="str">
            <v/>
          </cell>
        </row>
        <row r="1924">
          <cell r="A1924" t="str">
            <v/>
          </cell>
        </row>
        <row r="1925">
          <cell r="A1925" t="str">
            <v/>
          </cell>
        </row>
        <row r="1926">
          <cell r="A1926" t="str">
            <v/>
          </cell>
        </row>
        <row r="1927">
          <cell r="A1927" t="str">
            <v/>
          </cell>
        </row>
        <row r="1928">
          <cell r="A1928" t="str">
            <v/>
          </cell>
        </row>
        <row r="1929">
          <cell r="A1929" t="str">
            <v/>
          </cell>
        </row>
        <row r="1930">
          <cell r="A1930" t="str">
            <v/>
          </cell>
        </row>
        <row r="1931">
          <cell r="A1931" t="str">
            <v/>
          </cell>
        </row>
        <row r="1932">
          <cell r="A1932" t="str">
            <v/>
          </cell>
        </row>
        <row r="1933">
          <cell r="A1933" t="str">
            <v/>
          </cell>
        </row>
        <row r="1934">
          <cell r="A1934" t="str">
            <v/>
          </cell>
        </row>
        <row r="1935">
          <cell r="A1935" t="str">
            <v/>
          </cell>
        </row>
        <row r="1936">
          <cell r="A1936" t="str">
            <v/>
          </cell>
        </row>
        <row r="1937">
          <cell r="A1937" t="str">
            <v/>
          </cell>
        </row>
        <row r="1938">
          <cell r="A1938" t="str">
            <v/>
          </cell>
        </row>
        <row r="1939">
          <cell r="A1939" t="str">
            <v/>
          </cell>
        </row>
        <row r="1940">
          <cell r="A1940" t="str">
            <v/>
          </cell>
        </row>
        <row r="1941">
          <cell r="A1941" t="str">
            <v/>
          </cell>
        </row>
        <row r="1942">
          <cell r="A1942" t="str">
            <v/>
          </cell>
        </row>
        <row r="1943">
          <cell r="A1943" t="str">
            <v/>
          </cell>
        </row>
        <row r="1944">
          <cell r="A1944" t="str">
            <v/>
          </cell>
        </row>
        <row r="1945">
          <cell r="A1945" t="str">
            <v/>
          </cell>
        </row>
        <row r="1946">
          <cell r="A1946" t="str">
            <v/>
          </cell>
        </row>
        <row r="1947">
          <cell r="A1947" t="str">
            <v/>
          </cell>
        </row>
        <row r="1948">
          <cell r="A1948" t="str">
            <v/>
          </cell>
        </row>
        <row r="1949">
          <cell r="A1949" t="str">
            <v/>
          </cell>
        </row>
        <row r="1950">
          <cell r="A1950" t="str">
            <v/>
          </cell>
        </row>
        <row r="1951">
          <cell r="A1951" t="str">
            <v/>
          </cell>
        </row>
        <row r="1952">
          <cell r="A1952" t="str">
            <v/>
          </cell>
        </row>
        <row r="1953">
          <cell r="A1953" t="str">
            <v/>
          </cell>
        </row>
        <row r="1954">
          <cell r="A1954" t="str">
            <v/>
          </cell>
        </row>
        <row r="1955">
          <cell r="A1955" t="str">
            <v/>
          </cell>
        </row>
        <row r="1956">
          <cell r="A1956" t="str">
            <v/>
          </cell>
        </row>
        <row r="1957">
          <cell r="A1957" t="str">
            <v/>
          </cell>
        </row>
        <row r="1958">
          <cell r="A1958" t="str">
            <v/>
          </cell>
        </row>
        <row r="1959">
          <cell r="A1959" t="str">
            <v/>
          </cell>
        </row>
        <row r="1960">
          <cell r="A1960" t="str">
            <v/>
          </cell>
        </row>
        <row r="1961">
          <cell r="A1961" t="str">
            <v/>
          </cell>
        </row>
        <row r="1962">
          <cell r="A1962" t="str">
            <v/>
          </cell>
        </row>
        <row r="1963">
          <cell r="A1963" t="str">
            <v/>
          </cell>
        </row>
        <row r="1964">
          <cell r="A1964" t="str">
            <v/>
          </cell>
        </row>
        <row r="1965">
          <cell r="A1965" t="str">
            <v/>
          </cell>
        </row>
        <row r="1966">
          <cell r="A1966" t="str">
            <v/>
          </cell>
        </row>
        <row r="1967">
          <cell r="A1967" t="str">
            <v/>
          </cell>
        </row>
        <row r="1968">
          <cell r="A1968" t="str">
            <v/>
          </cell>
        </row>
        <row r="1969">
          <cell r="A1969" t="str">
            <v/>
          </cell>
        </row>
        <row r="1970">
          <cell r="A1970" t="str">
            <v/>
          </cell>
        </row>
        <row r="1971">
          <cell r="A1971" t="str">
            <v/>
          </cell>
        </row>
        <row r="1972">
          <cell r="A1972" t="str">
            <v/>
          </cell>
        </row>
        <row r="1973">
          <cell r="A1973" t="str">
            <v/>
          </cell>
        </row>
        <row r="1974">
          <cell r="A1974" t="str">
            <v/>
          </cell>
        </row>
        <row r="1975">
          <cell r="A1975" t="str">
            <v/>
          </cell>
        </row>
        <row r="1976">
          <cell r="A1976" t="str">
            <v/>
          </cell>
        </row>
        <row r="1977">
          <cell r="A1977" t="str">
            <v/>
          </cell>
        </row>
        <row r="1978">
          <cell r="A1978" t="str">
            <v/>
          </cell>
        </row>
        <row r="1979">
          <cell r="A1979" t="str">
            <v/>
          </cell>
        </row>
        <row r="1980">
          <cell r="A1980" t="str">
            <v/>
          </cell>
        </row>
        <row r="1981">
          <cell r="A1981" t="str">
            <v/>
          </cell>
        </row>
        <row r="1982">
          <cell r="A1982" t="str">
            <v/>
          </cell>
        </row>
        <row r="1983">
          <cell r="A1983" t="str">
            <v/>
          </cell>
        </row>
        <row r="1984">
          <cell r="A1984" t="str">
            <v/>
          </cell>
        </row>
        <row r="1985">
          <cell r="A1985" t="str">
            <v/>
          </cell>
        </row>
        <row r="1986">
          <cell r="A1986" t="str">
            <v/>
          </cell>
        </row>
        <row r="1987">
          <cell r="A1987" t="str">
            <v/>
          </cell>
        </row>
        <row r="1988">
          <cell r="A1988" t="str">
            <v/>
          </cell>
        </row>
        <row r="1989">
          <cell r="A1989" t="str">
            <v/>
          </cell>
        </row>
        <row r="1990">
          <cell r="A1990" t="str">
            <v/>
          </cell>
        </row>
        <row r="1991">
          <cell r="A1991" t="str">
            <v/>
          </cell>
        </row>
        <row r="1992">
          <cell r="A1992" t="str">
            <v/>
          </cell>
        </row>
        <row r="1993">
          <cell r="A1993" t="str">
            <v/>
          </cell>
        </row>
        <row r="1994">
          <cell r="A1994" t="str">
            <v/>
          </cell>
        </row>
        <row r="1995">
          <cell r="A1995" t="str">
            <v/>
          </cell>
        </row>
        <row r="1996">
          <cell r="A1996" t="str">
            <v/>
          </cell>
        </row>
        <row r="1997">
          <cell r="A1997" t="str">
            <v/>
          </cell>
        </row>
        <row r="1998">
          <cell r="A1998" t="str">
            <v/>
          </cell>
        </row>
        <row r="1999">
          <cell r="A1999" t="str">
            <v/>
          </cell>
        </row>
        <row r="2000">
          <cell r="A2000" t="str">
            <v/>
          </cell>
        </row>
        <row r="2001">
          <cell r="A2001" t="str">
            <v/>
          </cell>
        </row>
        <row r="2002">
          <cell r="A2002" t="str">
            <v/>
          </cell>
        </row>
        <row r="2003">
          <cell r="A2003" t="str">
            <v/>
          </cell>
        </row>
        <row r="2004">
          <cell r="A2004" t="str">
            <v/>
          </cell>
        </row>
        <row r="2005">
          <cell r="A2005" t="str">
            <v/>
          </cell>
        </row>
        <row r="2006">
          <cell r="A2006" t="str">
            <v/>
          </cell>
        </row>
        <row r="2007">
          <cell r="A2007" t="str">
            <v/>
          </cell>
        </row>
        <row r="2008">
          <cell r="A2008" t="str">
            <v/>
          </cell>
        </row>
        <row r="2009">
          <cell r="A2009" t="str">
            <v/>
          </cell>
        </row>
        <row r="2010">
          <cell r="A2010" t="str">
            <v/>
          </cell>
        </row>
        <row r="2011">
          <cell r="A2011" t="str">
            <v/>
          </cell>
        </row>
        <row r="2012">
          <cell r="A2012" t="str">
            <v/>
          </cell>
        </row>
        <row r="2013">
          <cell r="A2013" t="str">
            <v/>
          </cell>
        </row>
        <row r="2014">
          <cell r="A2014" t="str">
            <v/>
          </cell>
        </row>
        <row r="2015">
          <cell r="A2015" t="str">
            <v/>
          </cell>
        </row>
        <row r="2016">
          <cell r="A2016" t="str">
            <v/>
          </cell>
        </row>
        <row r="2017">
          <cell r="A2017" t="str">
            <v/>
          </cell>
        </row>
        <row r="2018">
          <cell r="A2018" t="str">
            <v/>
          </cell>
        </row>
        <row r="2019">
          <cell r="A2019" t="str">
            <v/>
          </cell>
        </row>
        <row r="2020">
          <cell r="A2020" t="str">
            <v/>
          </cell>
        </row>
        <row r="2021">
          <cell r="A2021" t="str">
            <v/>
          </cell>
        </row>
        <row r="2022">
          <cell r="A2022" t="str">
            <v/>
          </cell>
        </row>
        <row r="2023">
          <cell r="A2023" t="str">
            <v/>
          </cell>
        </row>
        <row r="2024">
          <cell r="A2024" t="str">
            <v/>
          </cell>
        </row>
        <row r="2025">
          <cell r="A2025" t="str">
            <v/>
          </cell>
        </row>
        <row r="2026">
          <cell r="A2026" t="str">
            <v/>
          </cell>
        </row>
        <row r="2027">
          <cell r="A2027" t="str">
            <v/>
          </cell>
        </row>
        <row r="2028">
          <cell r="A2028" t="str">
            <v/>
          </cell>
        </row>
        <row r="2029">
          <cell r="A2029" t="str">
            <v/>
          </cell>
        </row>
        <row r="2030">
          <cell r="A2030" t="str">
            <v/>
          </cell>
        </row>
        <row r="2031">
          <cell r="A2031" t="str">
            <v/>
          </cell>
        </row>
        <row r="2032">
          <cell r="A2032" t="str">
            <v/>
          </cell>
        </row>
        <row r="2033">
          <cell r="A2033" t="str">
            <v/>
          </cell>
        </row>
        <row r="2034">
          <cell r="A2034" t="str">
            <v/>
          </cell>
        </row>
        <row r="2035">
          <cell r="A2035" t="str">
            <v/>
          </cell>
        </row>
        <row r="2036">
          <cell r="A2036" t="str">
            <v/>
          </cell>
        </row>
        <row r="2037">
          <cell r="A2037" t="str">
            <v/>
          </cell>
        </row>
        <row r="2038">
          <cell r="A2038" t="str">
            <v/>
          </cell>
        </row>
        <row r="2039">
          <cell r="A2039" t="str">
            <v/>
          </cell>
        </row>
        <row r="2040">
          <cell r="A2040" t="str">
            <v/>
          </cell>
        </row>
        <row r="2041">
          <cell r="A2041" t="str">
            <v/>
          </cell>
        </row>
        <row r="2042">
          <cell r="A2042" t="str">
            <v/>
          </cell>
        </row>
        <row r="2043">
          <cell r="A2043" t="str">
            <v/>
          </cell>
        </row>
        <row r="2044">
          <cell r="A2044" t="str">
            <v/>
          </cell>
        </row>
        <row r="2045">
          <cell r="A2045" t="str">
            <v/>
          </cell>
        </row>
        <row r="2046">
          <cell r="A2046" t="str">
            <v/>
          </cell>
        </row>
        <row r="2047">
          <cell r="A2047" t="str">
            <v/>
          </cell>
        </row>
        <row r="2048">
          <cell r="A2048" t="str">
            <v/>
          </cell>
        </row>
        <row r="2049">
          <cell r="A2049" t="str">
            <v/>
          </cell>
        </row>
        <row r="2050">
          <cell r="A2050" t="str">
            <v/>
          </cell>
        </row>
        <row r="2051">
          <cell r="A2051" t="str">
            <v/>
          </cell>
        </row>
        <row r="2052">
          <cell r="A2052" t="str">
            <v/>
          </cell>
        </row>
        <row r="2053">
          <cell r="A2053" t="str">
            <v/>
          </cell>
        </row>
        <row r="2054">
          <cell r="A2054" t="str">
            <v/>
          </cell>
        </row>
        <row r="2055">
          <cell r="A2055" t="str">
            <v/>
          </cell>
        </row>
        <row r="2056">
          <cell r="A2056" t="str">
            <v/>
          </cell>
        </row>
        <row r="2057">
          <cell r="A2057" t="str">
            <v/>
          </cell>
        </row>
        <row r="2058">
          <cell r="A2058" t="str">
            <v/>
          </cell>
        </row>
        <row r="2059">
          <cell r="A2059" t="str">
            <v/>
          </cell>
        </row>
        <row r="2060">
          <cell r="A2060" t="str">
            <v/>
          </cell>
        </row>
        <row r="2061">
          <cell r="A2061" t="str">
            <v/>
          </cell>
        </row>
        <row r="2062">
          <cell r="A2062" t="str">
            <v/>
          </cell>
        </row>
        <row r="2063">
          <cell r="A2063" t="str">
            <v/>
          </cell>
        </row>
        <row r="2064">
          <cell r="A2064" t="str">
            <v/>
          </cell>
        </row>
        <row r="2065">
          <cell r="A2065" t="str">
            <v/>
          </cell>
        </row>
        <row r="2066">
          <cell r="A2066" t="str">
            <v/>
          </cell>
        </row>
        <row r="2067">
          <cell r="A2067" t="str">
            <v/>
          </cell>
        </row>
        <row r="2068">
          <cell r="A2068" t="str">
            <v/>
          </cell>
        </row>
        <row r="2069">
          <cell r="A2069" t="str">
            <v/>
          </cell>
        </row>
        <row r="2070">
          <cell r="A2070" t="str">
            <v/>
          </cell>
        </row>
        <row r="2071">
          <cell r="A2071" t="str">
            <v/>
          </cell>
        </row>
        <row r="2072">
          <cell r="A2072" t="str">
            <v/>
          </cell>
        </row>
        <row r="2073">
          <cell r="A2073" t="str">
            <v/>
          </cell>
        </row>
        <row r="2074">
          <cell r="A2074" t="str">
            <v/>
          </cell>
        </row>
        <row r="2075">
          <cell r="A2075" t="str">
            <v/>
          </cell>
        </row>
        <row r="2076">
          <cell r="A2076" t="str">
            <v/>
          </cell>
        </row>
        <row r="2077">
          <cell r="A2077" t="str">
            <v/>
          </cell>
        </row>
        <row r="2078">
          <cell r="A2078" t="str">
            <v/>
          </cell>
        </row>
        <row r="2079">
          <cell r="A2079" t="str">
            <v/>
          </cell>
        </row>
        <row r="2080">
          <cell r="A2080" t="str">
            <v/>
          </cell>
        </row>
        <row r="2081">
          <cell r="A2081" t="str">
            <v/>
          </cell>
        </row>
        <row r="2082">
          <cell r="A2082" t="str">
            <v/>
          </cell>
        </row>
        <row r="2083">
          <cell r="A2083" t="str">
            <v/>
          </cell>
        </row>
        <row r="2084">
          <cell r="A2084" t="str">
            <v/>
          </cell>
        </row>
        <row r="2085">
          <cell r="A2085" t="str">
            <v/>
          </cell>
        </row>
        <row r="2086">
          <cell r="A2086" t="str">
            <v/>
          </cell>
        </row>
        <row r="2087">
          <cell r="A2087" t="str">
            <v/>
          </cell>
        </row>
        <row r="2088">
          <cell r="A2088" t="str">
            <v/>
          </cell>
        </row>
        <row r="2089">
          <cell r="A2089" t="str">
            <v/>
          </cell>
        </row>
        <row r="2090">
          <cell r="A2090" t="str">
            <v/>
          </cell>
        </row>
        <row r="2091">
          <cell r="A2091" t="str">
            <v/>
          </cell>
        </row>
        <row r="2092">
          <cell r="A2092" t="str">
            <v/>
          </cell>
        </row>
        <row r="2093">
          <cell r="A2093" t="str">
            <v/>
          </cell>
        </row>
        <row r="2094">
          <cell r="A2094" t="str">
            <v/>
          </cell>
        </row>
        <row r="2095">
          <cell r="A2095" t="str">
            <v/>
          </cell>
        </row>
        <row r="2096">
          <cell r="A2096" t="str">
            <v/>
          </cell>
        </row>
        <row r="2097">
          <cell r="A2097" t="str">
            <v/>
          </cell>
        </row>
        <row r="2098">
          <cell r="A2098" t="str">
            <v/>
          </cell>
        </row>
        <row r="2099">
          <cell r="A2099" t="str">
            <v/>
          </cell>
        </row>
        <row r="2100">
          <cell r="A2100" t="str">
            <v/>
          </cell>
        </row>
        <row r="2101">
          <cell r="A2101" t="str">
            <v/>
          </cell>
        </row>
        <row r="2102">
          <cell r="A2102" t="str">
            <v/>
          </cell>
        </row>
        <row r="2103">
          <cell r="A2103" t="str">
            <v/>
          </cell>
        </row>
        <row r="2104">
          <cell r="A2104" t="str">
            <v/>
          </cell>
        </row>
        <row r="2105">
          <cell r="A2105" t="str">
            <v/>
          </cell>
        </row>
        <row r="2106">
          <cell r="A2106" t="str">
            <v/>
          </cell>
        </row>
        <row r="2107">
          <cell r="A2107" t="str">
            <v/>
          </cell>
        </row>
        <row r="2108">
          <cell r="A2108" t="str">
            <v/>
          </cell>
        </row>
        <row r="2109">
          <cell r="A2109" t="str">
            <v/>
          </cell>
        </row>
        <row r="2110">
          <cell r="A2110" t="str">
            <v/>
          </cell>
        </row>
        <row r="2111">
          <cell r="A2111" t="str">
            <v/>
          </cell>
        </row>
        <row r="2112">
          <cell r="A2112" t="str">
            <v/>
          </cell>
        </row>
        <row r="2113">
          <cell r="A2113" t="str">
            <v/>
          </cell>
        </row>
        <row r="2114">
          <cell r="A2114" t="str">
            <v/>
          </cell>
        </row>
        <row r="2115">
          <cell r="A2115" t="str">
            <v/>
          </cell>
        </row>
        <row r="2116">
          <cell r="A2116" t="str">
            <v/>
          </cell>
        </row>
        <row r="2117">
          <cell r="A2117" t="str">
            <v/>
          </cell>
        </row>
        <row r="2118">
          <cell r="A2118" t="str">
            <v/>
          </cell>
        </row>
        <row r="2119">
          <cell r="A2119" t="str">
            <v/>
          </cell>
        </row>
        <row r="2120">
          <cell r="A2120" t="str">
            <v/>
          </cell>
        </row>
        <row r="2121">
          <cell r="A2121" t="str">
            <v/>
          </cell>
        </row>
        <row r="2122">
          <cell r="A2122" t="str">
            <v/>
          </cell>
        </row>
        <row r="2123">
          <cell r="A2123" t="str">
            <v/>
          </cell>
        </row>
        <row r="2124">
          <cell r="A2124" t="str">
            <v/>
          </cell>
        </row>
        <row r="2125">
          <cell r="A2125" t="str">
            <v/>
          </cell>
        </row>
        <row r="2126">
          <cell r="A2126" t="str">
            <v/>
          </cell>
        </row>
        <row r="2127">
          <cell r="A2127" t="str">
            <v/>
          </cell>
        </row>
        <row r="2128">
          <cell r="A2128" t="str">
            <v/>
          </cell>
        </row>
        <row r="2129">
          <cell r="A2129" t="str">
            <v/>
          </cell>
        </row>
        <row r="2130">
          <cell r="A2130" t="str">
            <v/>
          </cell>
        </row>
        <row r="2131">
          <cell r="A2131" t="str">
            <v/>
          </cell>
        </row>
        <row r="2132">
          <cell r="A2132" t="str">
            <v/>
          </cell>
        </row>
        <row r="2133">
          <cell r="A2133" t="str">
            <v/>
          </cell>
        </row>
        <row r="2134">
          <cell r="A2134" t="str">
            <v/>
          </cell>
        </row>
        <row r="2135">
          <cell r="A2135" t="str">
            <v/>
          </cell>
        </row>
        <row r="2136">
          <cell r="A2136" t="str">
            <v/>
          </cell>
        </row>
        <row r="2137">
          <cell r="A2137" t="str">
            <v/>
          </cell>
        </row>
        <row r="2138">
          <cell r="A2138" t="str">
            <v/>
          </cell>
        </row>
        <row r="2139">
          <cell r="A2139" t="str">
            <v/>
          </cell>
        </row>
        <row r="2140">
          <cell r="A2140" t="str">
            <v/>
          </cell>
        </row>
        <row r="2141">
          <cell r="A2141" t="str">
            <v/>
          </cell>
        </row>
        <row r="2142">
          <cell r="A2142" t="str">
            <v/>
          </cell>
        </row>
        <row r="2143">
          <cell r="A2143" t="str">
            <v/>
          </cell>
        </row>
        <row r="2144">
          <cell r="A2144" t="str">
            <v/>
          </cell>
        </row>
        <row r="2145">
          <cell r="A2145" t="str">
            <v/>
          </cell>
        </row>
        <row r="2146">
          <cell r="A2146" t="str">
            <v/>
          </cell>
        </row>
        <row r="2147">
          <cell r="A2147" t="str">
            <v/>
          </cell>
        </row>
        <row r="2148">
          <cell r="A2148" t="str">
            <v/>
          </cell>
        </row>
        <row r="2149">
          <cell r="A2149" t="str">
            <v/>
          </cell>
        </row>
        <row r="2150">
          <cell r="A2150" t="str">
            <v/>
          </cell>
        </row>
        <row r="2151">
          <cell r="A2151" t="str">
            <v/>
          </cell>
        </row>
        <row r="2152">
          <cell r="A2152" t="str">
            <v/>
          </cell>
        </row>
        <row r="2153">
          <cell r="A2153" t="str">
            <v/>
          </cell>
        </row>
        <row r="2154">
          <cell r="A2154" t="str">
            <v/>
          </cell>
        </row>
        <row r="2155">
          <cell r="A2155" t="str">
            <v/>
          </cell>
        </row>
        <row r="2156">
          <cell r="A2156" t="str">
            <v/>
          </cell>
        </row>
        <row r="2157">
          <cell r="A2157" t="str">
            <v/>
          </cell>
        </row>
        <row r="2158">
          <cell r="A2158" t="str">
            <v/>
          </cell>
        </row>
        <row r="2159">
          <cell r="A2159" t="str">
            <v/>
          </cell>
        </row>
        <row r="2160">
          <cell r="A2160" t="str">
            <v/>
          </cell>
        </row>
        <row r="2161">
          <cell r="A2161" t="str">
            <v/>
          </cell>
        </row>
        <row r="2162">
          <cell r="A2162" t="str">
            <v/>
          </cell>
        </row>
        <row r="2163">
          <cell r="A2163" t="str">
            <v/>
          </cell>
        </row>
        <row r="2164">
          <cell r="A2164" t="str">
            <v/>
          </cell>
        </row>
        <row r="2165">
          <cell r="A2165" t="str">
            <v/>
          </cell>
        </row>
        <row r="2166">
          <cell r="A2166" t="str">
            <v/>
          </cell>
        </row>
        <row r="2167">
          <cell r="A2167" t="str">
            <v/>
          </cell>
        </row>
        <row r="2168">
          <cell r="A2168" t="str">
            <v/>
          </cell>
        </row>
        <row r="2169">
          <cell r="A2169" t="str">
            <v/>
          </cell>
        </row>
        <row r="2170">
          <cell r="A2170" t="str">
            <v/>
          </cell>
        </row>
        <row r="2171">
          <cell r="A2171" t="str">
            <v/>
          </cell>
        </row>
        <row r="2172">
          <cell r="A2172" t="str">
            <v/>
          </cell>
        </row>
        <row r="2173">
          <cell r="A2173" t="str">
            <v/>
          </cell>
        </row>
        <row r="2174">
          <cell r="A2174" t="str">
            <v/>
          </cell>
        </row>
        <row r="2175">
          <cell r="A2175" t="str">
            <v/>
          </cell>
        </row>
        <row r="2176">
          <cell r="A2176" t="str">
            <v/>
          </cell>
        </row>
        <row r="2177">
          <cell r="A2177" t="str">
            <v/>
          </cell>
        </row>
        <row r="2178">
          <cell r="A2178" t="str">
            <v/>
          </cell>
        </row>
        <row r="2179">
          <cell r="A2179" t="str">
            <v/>
          </cell>
        </row>
        <row r="2180">
          <cell r="A2180" t="str">
            <v/>
          </cell>
        </row>
        <row r="2181">
          <cell r="A2181" t="str">
            <v/>
          </cell>
        </row>
        <row r="2182">
          <cell r="A2182" t="str">
            <v/>
          </cell>
        </row>
        <row r="2183">
          <cell r="A2183" t="str">
            <v/>
          </cell>
        </row>
        <row r="2184">
          <cell r="A2184" t="str">
            <v/>
          </cell>
        </row>
        <row r="2185">
          <cell r="A2185" t="str">
            <v/>
          </cell>
        </row>
        <row r="2186">
          <cell r="A2186" t="str">
            <v/>
          </cell>
        </row>
        <row r="2187">
          <cell r="A2187" t="str">
            <v/>
          </cell>
        </row>
        <row r="2188">
          <cell r="A2188" t="str">
            <v/>
          </cell>
        </row>
        <row r="2189">
          <cell r="A2189" t="str">
            <v/>
          </cell>
        </row>
        <row r="2190">
          <cell r="A2190" t="str">
            <v/>
          </cell>
        </row>
        <row r="2191">
          <cell r="A2191" t="str">
            <v/>
          </cell>
        </row>
        <row r="2192">
          <cell r="A2192" t="str">
            <v/>
          </cell>
        </row>
        <row r="2193">
          <cell r="A2193" t="str">
            <v/>
          </cell>
        </row>
        <row r="2194">
          <cell r="A2194" t="str">
            <v/>
          </cell>
        </row>
        <row r="2195">
          <cell r="A2195" t="str">
            <v/>
          </cell>
        </row>
        <row r="2196">
          <cell r="A2196" t="str">
            <v/>
          </cell>
        </row>
        <row r="2197">
          <cell r="A2197" t="str">
            <v/>
          </cell>
        </row>
        <row r="2198">
          <cell r="A2198" t="str">
            <v/>
          </cell>
        </row>
        <row r="2199">
          <cell r="A2199" t="str">
            <v/>
          </cell>
        </row>
        <row r="2200">
          <cell r="A2200" t="str">
            <v/>
          </cell>
        </row>
        <row r="2201">
          <cell r="A2201" t="str">
            <v/>
          </cell>
        </row>
        <row r="2202">
          <cell r="A2202" t="str">
            <v/>
          </cell>
        </row>
        <row r="2203">
          <cell r="A2203" t="str">
            <v/>
          </cell>
        </row>
        <row r="2204">
          <cell r="A2204" t="str">
            <v/>
          </cell>
        </row>
        <row r="2205">
          <cell r="A2205" t="str">
            <v/>
          </cell>
        </row>
        <row r="2206">
          <cell r="A2206" t="str">
            <v/>
          </cell>
        </row>
        <row r="2207">
          <cell r="A2207" t="str">
            <v/>
          </cell>
        </row>
        <row r="2208">
          <cell r="A2208" t="str">
            <v/>
          </cell>
        </row>
        <row r="2209">
          <cell r="A2209" t="str">
            <v/>
          </cell>
        </row>
        <row r="2210">
          <cell r="A2210" t="str">
            <v/>
          </cell>
        </row>
        <row r="2211">
          <cell r="A2211" t="str">
            <v/>
          </cell>
        </row>
        <row r="2212">
          <cell r="A2212" t="str">
            <v/>
          </cell>
        </row>
        <row r="2213">
          <cell r="A2213" t="str">
            <v/>
          </cell>
        </row>
        <row r="2214">
          <cell r="A2214" t="str">
            <v/>
          </cell>
        </row>
        <row r="2215">
          <cell r="A2215" t="str">
            <v/>
          </cell>
        </row>
        <row r="2216">
          <cell r="A2216" t="str">
            <v/>
          </cell>
        </row>
        <row r="2217">
          <cell r="A2217" t="str">
            <v/>
          </cell>
        </row>
        <row r="2218">
          <cell r="A2218" t="str">
            <v/>
          </cell>
        </row>
        <row r="2219">
          <cell r="A2219" t="str">
            <v/>
          </cell>
        </row>
        <row r="2220">
          <cell r="A2220" t="str">
            <v/>
          </cell>
        </row>
        <row r="2221">
          <cell r="A2221" t="str">
            <v/>
          </cell>
        </row>
        <row r="2222">
          <cell r="A2222" t="str">
            <v/>
          </cell>
        </row>
        <row r="2223">
          <cell r="A2223" t="str">
            <v/>
          </cell>
        </row>
        <row r="2224">
          <cell r="A2224" t="str">
            <v/>
          </cell>
        </row>
        <row r="2225">
          <cell r="A2225" t="str">
            <v/>
          </cell>
        </row>
        <row r="2226">
          <cell r="A2226" t="str">
            <v/>
          </cell>
        </row>
        <row r="2227">
          <cell r="A2227" t="str">
            <v/>
          </cell>
        </row>
        <row r="2228">
          <cell r="A2228" t="str">
            <v/>
          </cell>
        </row>
        <row r="2229">
          <cell r="A2229" t="str">
            <v/>
          </cell>
        </row>
        <row r="2230">
          <cell r="A2230" t="str">
            <v/>
          </cell>
        </row>
        <row r="2231">
          <cell r="A2231" t="str">
            <v/>
          </cell>
        </row>
        <row r="2232">
          <cell r="A2232" t="str">
            <v/>
          </cell>
        </row>
        <row r="2233">
          <cell r="A2233" t="str">
            <v/>
          </cell>
        </row>
        <row r="2234">
          <cell r="A2234" t="str">
            <v/>
          </cell>
        </row>
        <row r="2235">
          <cell r="A2235" t="str">
            <v/>
          </cell>
        </row>
        <row r="2236">
          <cell r="A2236" t="str">
            <v/>
          </cell>
        </row>
        <row r="2237">
          <cell r="A2237" t="str">
            <v/>
          </cell>
        </row>
        <row r="2238">
          <cell r="A2238" t="str">
            <v/>
          </cell>
        </row>
        <row r="2239">
          <cell r="A2239" t="str">
            <v/>
          </cell>
        </row>
        <row r="2240">
          <cell r="A2240" t="str">
            <v/>
          </cell>
        </row>
        <row r="2241">
          <cell r="A2241" t="str">
            <v/>
          </cell>
        </row>
        <row r="2242">
          <cell r="A2242" t="str">
            <v/>
          </cell>
        </row>
        <row r="2243">
          <cell r="A2243" t="str">
            <v/>
          </cell>
        </row>
        <row r="2244">
          <cell r="A2244" t="str">
            <v/>
          </cell>
        </row>
        <row r="2245">
          <cell r="A2245" t="str">
            <v/>
          </cell>
        </row>
        <row r="2246">
          <cell r="A2246" t="str">
            <v/>
          </cell>
        </row>
        <row r="2247">
          <cell r="A2247" t="str">
            <v/>
          </cell>
        </row>
        <row r="2248">
          <cell r="A2248" t="str">
            <v/>
          </cell>
        </row>
        <row r="2249">
          <cell r="A2249" t="str">
            <v/>
          </cell>
        </row>
        <row r="2250">
          <cell r="A2250" t="str">
            <v/>
          </cell>
        </row>
        <row r="2251">
          <cell r="A2251" t="str">
            <v/>
          </cell>
        </row>
        <row r="2252">
          <cell r="A2252" t="str">
            <v/>
          </cell>
        </row>
        <row r="2253">
          <cell r="A2253" t="str">
            <v/>
          </cell>
        </row>
        <row r="2254">
          <cell r="A2254" t="str">
            <v/>
          </cell>
        </row>
        <row r="2255">
          <cell r="A2255" t="str">
            <v/>
          </cell>
        </row>
        <row r="2256">
          <cell r="A2256" t="str">
            <v/>
          </cell>
        </row>
        <row r="2257">
          <cell r="A2257" t="str">
            <v/>
          </cell>
        </row>
        <row r="2258">
          <cell r="A2258" t="str">
            <v/>
          </cell>
        </row>
        <row r="2259">
          <cell r="A2259" t="str">
            <v/>
          </cell>
        </row>
        <row r="2260">
          <cell r="A2260" t="str">
            <v/>
          </cell>
        </row>
        <row r="2261">
          <cell r="A2261" t="str">
            <v/>
          </cell>
        </row>
        <row r="2262">
          <cell r="A2262" t="str">
            <v/>
          </cell>
        </row>
        <row r="2263">
          <cell r="A2263" t="str">
            <v/>
          </cell>
        </row>
        <row r="2264">
          <cell r="A2264" t="str">
            <v/>
          </cell>
        </row>
        <row r="2265">
          <cell r="A2265" t="str">
            <v/>
          </cell>
        </row>
        <row r="2266">
          <cell r="A2266" t="str">
            <v/>
          </cell>
        </row>
        <row r="2267">
          <cell r="A2267" t="str">
            <v/>
          </cell>
        </row>
        <row r="2268">
          <cell r="A2268" t="str">
            <v/>
          </cell>
        </row>
        <row r="2269">
          <cell r="A2269" t="str">
            <v/>
          </cell>
        </row>
        <row r="2270">
          <cell r="A2270" t="str">
            <v/>
          </cell>
        </row>
        <row r="2271">
          <cell r="A2271" t="str">
            <v/>
          </cell>
        </row>
        <row r="2272">
          <cell r="A2272" t="str">
            <v/>
          </cell>
        </row>
        <row r="2273">
          <cell r="A2273" t="str">
            <v/>
          </cell>
        </row>
        <row r="2274">
          <cell r="A2274" t="str">
            <v/>
          </cell>
        </row>
        <row r="2275">
          <cell r="A2275" t="str">
            <v/>
          </cell>
        </row>
        <row r="2276">
          <cell r="A2276" t="str">
            <v/>
          </cell>
        </row>
        <row r="2277">
          <cell r="A2277" t="str">
            <v/>
          </cell>
        </row>
        <row r="2278">
          <cell r="A2278" t="str">
            <v/>
          </cell>
        </row>
        <row r="2279">
          <cell r="A2279" t="str">
            <v/>
          </cell>
        </row>
        <row r="2280">
          <cell r="A2280" t="str">
            <v/>
          </cell>
        </row>
        <row r="2281">
          <cell r="A2281" t="str">
            <v/>
          </cell>
        </row>
        <row r="2282">
          <cell r="A2282" t="str">
            <v/>
          </cell>
        </row>
        <row r="2283">
          <cell r="A2283" t="str">
            <v/>
          </cell>
        </row>
        <row r="2284">
          <cell r="A2284" t="str">
            <v/>
          </cell>
        </row>
        <row r="2285">
          <cell r="A2285" t="str">
            <v/>
          </cell>
        </row>
        <row r="2286">
          <cell r="A2286" t="str">
            <v/>
          </cell>
        </row>
        <row r="2287">
          <cell r="A2287" t="str">
            <v/>
          </cell>
        </row>
        <row r="2288">
          <cell r="A2288" t="str">
            <v/>
          </cell>
        </row>
        <row r="2289">
          <cell r="A2289" t="str">
            <v/>
          </cell>
        </row>
        <row r="2290">
          <cell r="A2290" t="str">
            <v/>
          </cell>
        </row>
        <row r="2291">
          <cell r="A2291" t="str">
            <v/>
          </cell>
        </row>
        <row r="2292">
          <cell r="A2292" t="str">
            <v/>
          </cell>
        </row>
        <row r="2293">
          <cell r="A2293" t="str">
            <v/>
          </cell>
        </row>
        <row r="2294">
          <cell r="A2294" t="str">
            <v/>
          </cell>
        </row>
        <row r="2295">
          <cell r="A2295" t="str">
            <v/>
          </cell>
        </row>
        <row r="2296">
          <cell r="A2296" t="str">
            <v/>
          </cell>
        </row>
        <row r="2297">
          <cell r="A2297" t="str">
            <v/>
          </cell>
        </row>
        <row r="2298">
          <cell r="A2298" t="str">
            <v/>
          </cell>
        </row>
        <row r="2299">
          <cell r="A2299" t="str">
            <v/>
          </cell>
        </row>
        <row r="2300">
          <cell r="A2300" t="str">
            <v/>
          </cell>
        </row>
        <row r="2301">
          <cell r="A2301" t="str">
            <v/>
          </cell>
        </row>
        <row r="2302">
          <cell r="A2302" t="str">
            <v/>
          </cell>
        </row>
        <row r="2303">
          <cell r="A2303" t="str">
            <v/>
          </cell>
        </row>
        <row r="2304">
          <cell r="A2304" t="str">
            <v/>
          </cell>
        </row>
        <row r="2305">
          <cell r="A2305" t="str">
            <v/>
          </cell>
        </row>
        <row r="2306">
          <cell r="A2306" t="str">
            <v/>
          </cell>
        </row>
        <row r="2307">
          <cell r="A2307" t="str">
            <v/>
          </cell>
        </row>
        <row r="2308">
          <cell r="A2308" t="str">
            <v/>
          </cell>
        </row>
        <row r="2309">
          <cell r="A2309" t="str">
            <v/>
          </cell>
        </row>
        <row r="2310">
          <cell r="A2310" t="str">
            <v/>
          </cell>
        </row>
        <row r="2311">
          <cell r="A2311" t="str">
            <v/>
          </cell>
        </row>
        <row r="2312">
          <cell r="A2312" t="str">
            <v/>
          </cell>
        </row>
        <row r="2313">
          <cell r="A2313" t="str">
            <v/>
          </cell>
        </row>
        <row r="2314">
          <cell r="A2314" t="str">
            <v/>
          </cell>
        </row>
        <row r="2315">
          <cell r="A2315" t="str">
            <v/>
          </cell>
        </row>
        <row r="2316">
          <cell r="A2316" t="str">
            <v/>
          </cell>
        </row>
        <row r="2317">
          <cell r="A2317" t="str">
            <v/>
          </cell>
        </row>
        <row r="2318">
          <cell r="A2318" t="str">
            <v/>
          </cell>
        </row>
        <row r="2319">
          <cell r="A2319" t="str">
            <v/>
          </cell>
        </row>
        <row r="2320">
          <cell r="A2320" t="str">
            <v/>
          </cell>
        </row>
        <row r="2321">
          <cell r="A2321" t="str">
            <v/>
          </cell>
        </row>
        <row r="2322">
          <cell r="A2322" t="str">
            <v/>
          </cell>
        </row>
        <row r="2323">
          <cell r="A2323" t="str">
            <v/>
          </cell>
        </row>
        <row r="2324">
          <cell r="A2324" t="str">
            <v/>
          </cell>
        </row>
        <row r="2325">
          <cell r="A2325" t="str">
            <v/>
          </cell>
        </row>
        <row r="2326">
          <cell r="A2326" t="str">
            <v/>
          </cell>
        </row>
        <row r="2327">
          <cell r="A2327" t="str">
            <v/>
          </cell>
        </row>
        <row r="2328">
          <cell r="A2328" t="str">
            <v/>
          </cell>
        </row>
        <row r="2329">
          <cell r="A2329" t="str">
            <v/>
          </cell>
        </row>
        <row r="2330">
          <cell r="A2330" t="str">
            <v/>
          </cell>
        </row>
        <row r="2331">
          <cell r="A2331" t="str">
            <v/>
          </cell>
        </row>
        <row r="2332">
          <cell r="A2332" t="str">
            <v/>
          </cell>
        </row>
        <row r="2333">
          <cell r="A2333" t="str">
            <v/>
          </cell>
        </row>
        <row r="2334">
          <cell r="A2334" t="str">
            <v/>
          </cell>
        </row>
        <row r="2335">
          <cell r="A2335" t="str">
            <v/>
          </cell>
        </row>
        <row r="2336">
          <cell r="A2336" t="str">
            <v/>
          </cell>
        </row>
        <row r="2337">
          <cell r="A2337" t="str">
            <v/>
          </cell>
        </row>
        <row r="2338">
          <cell r="A2338" t="str">
            <v/>
          </cell>
        </row>
        <row r="2339">
          <cell r="A2339" t="str">
            <v/>
          </cell>
        </row>
        <row r="2340">
          <cell r="A2340" t="str">
            <v/>
          </cell>
        </row>
        <row r="2341">
          <cell r="A2341" t="str">
            <v/>
          </cell>
        </row>
        <row r="2342">
          <cell r="A2342" t="str">
            <v/>
          </cell>
        </row>
        <row r="2343">
          <cell r="A2343" t="str">
            <v/>
          </cell>
        </row>
        <row r="2344">
          <cell r="A2344" t="str">
            <v/>
          </cell>
        </row>
        <row r="2345">
          <cell r="A2345" t="str">
            <v/>
          </cell>
        </row>
        <row r="2346">
          <cell r="A2346" t="str">
            <v/>
          </cell>
        </row>
        <row r="2347">
          <cell r="A2347" t="str">
            <v/>
          </cell>
        </row>
        <row r="2348">
          <cell r="A2348" t="str">
            <v/>
          </cell>
        </row>
        <row r="2349">
          <cell r="A2349" t="str">
            <v/>
          </cell>
        </row>
        <row r="2350">
          <cell r="A2350" t="str">
            <v/>
          </cell>
        </row>
        <row r="2351">
          <cell r="A2351" t="str">
            <v/>
          </cell>
        </row>
        <row r="2352">
          <cell r="A2352" t="str">
            <v/>
          </cell>
        </row>
        <row r="2353">
          <cell r="A2353" t="str">
            <v/>
          </cell>
        </row>
        <row r="2354">
          <cell r="A2354" t="str">
            <v/>
          </cell>
        </row>
        <row r="2355">
          <cell r="A2355" t="str">
            <v/>
          </cell>
        </row>
        <row r="2356">
          <cell r="A2356" t="str">
            <v/>
          </cell>
        </row>
        <row r="2357">
          <cell r="A2357" t="str">
            <v/>
          </cell>
        </row>
        <row r="2358">
          <cell r="A2358" t="str">
            <v/>
          </cell>
        </row>
        <row r="2359">
          <cell r="A2359" t="str">
            <v/>
          </cell>
        </row>
        <row r="2360">
          <cell r="A2360" t="str">
            <v/>
          </cell>
        </row>
        <row r="2361">
          <cell r="A2361" t="str">
            <v/>
          </cell>
        </row>
        <row r="2362">
          <cell r="A2362" t="str">
            <v/>
          </cell>
        </row>
        <row r="2363">
          <cell r="A2363" t="str">
            <v/>
          </cell>
        </row>
        <row r="2364">
          <cell r="A2364" t="str">
            <v/>
          </cell>
        </row>
        <row r="2365">
          <cell r="A2365" t="str">
            <v/>
          </cell>
        </row>
        <row r="2366">
          <cell r="A2366" t="str">
            <v/>
          </cell>
        </row>
        <row r="2367">
          <cell r="A2367" t="str">
            <v/>
          </cell>
        </row>
        <row r="2368">
          <cell r="A2368" t="str">
            <v/>
          </cell>
        </row>
        <row r="2369">
          <cell r="A2369" t="str">
            <v/>
          </cell>
        </row>
        <row r="2370">
          <cell r="A2370" t="str">
            <v/>
          </cell>
        </row>
        <row r="2371">
          <cell r="A2371" t="str">
            <v/>
          </cell>
        </row>
        <row r="2372">
          <cell r="A2372" t="str">
            <v/>
          </cell>
        </row>
        <row r="2373">
          <cell r="A2373" t="str">
            <v/>
          </cell>
        </row>
        <row r="2374">
          <cell r="A2374" t="str">
            <v/>
          </cell>
        </row>
        <row r="2375">
          <cell r="A2375" t="str">
            <v/>
          </cell>
        </row>
        <row r="2376">
          <cell r="A2376" t="str">
            <v/>
          </cell>
        </row>
        <row r="2377">
          <cell r="A2377" t="str">
            <v/>
          </cell>
        </row>
        <row r="2378">
          <cell r="A2378" t="str">
            <v/>
          </cell>
        </row>
        <row r="2379">
          <cell r="A2379" t="str">
            <v/>
          </cell>
        </row>
        <row r="2380">
          <cell r="A2380" t="str">
            <v/>
          </cell>
        </row>
        <row r="2381">
          <cell r="A2381" t="str">
            <v/>
          </cell>
        </row>
        <row r="2382">
          <cell r="A2382" t="str">
            <v/>
          </cell>
        </row>
        <row r="2383">
          <cell r="A2383" t="str">
            <v/>
          </cell>
        </row>
        <row r="2384">
          <cell r="A2384" t="str">
            <v/>
          </cell>
        </row>
        <row r="2385">
          <cell r="A2385" t="str">
            <v/>
          </cell>
        </row>
        <row r="2386">
          <cell r="A2386" t="str">
            <v/>
          </cell>
        </row>
        <row r="2387">
          <cell r="A2387" t="str">
            <v/>
          </cell>
        </row>
        <row r="2388">
          <cell r="A2388" t="str">
            <v/>
          </cell>
        </row>
        <row r="2389">
          <cell r="A2389" t="str">
            <v/>
          </cell>
        </row>
        <row r="2390">
          <cell r="A2390" t="str">
            <v/>
          </cell>
        </row>
        <row r="2391">
          <cell r="A2391" t="str">
            <v/>
          </cell>
        </row>
        <row r="2392">
          <cell r="A2392" t="str">
            <v/>
          </cell>
        </row>
        <row r="2393">
          <cell r="A2393" t="str">
            <v/>
          </cell>
        </row>
        <row r="2394">
          <cell r="A2394" t="str">
            <v/>
          </cell>
        </row>
        <row r="2395">
          <cell r="A2395" t="str">
            <v/>
          </cell>
        </row>
        <row r="2396">
          <cell r="A2396" t="str">
            <v/>
          </cell>
        </row>
        <row r="2397">
          <cell r="A2397" t="str">
            <v/>
          </cell>
        </row>
        <row r="2398">
          <cell r="A2398" t="str">
            <v/>
          </cell>
        </row>
        <row r="2399">
          <cell r="A2399" t="str">
            <v/>
          </cell>
        </row>
        <row r="2400">
          <cell r="A2400" t="str">
            <v/>
          </cell>
        </row>
        <row r="2401">
          <cell r="A2401" t="str">
            <v/>
          </cell>
        </row>
        <row r="2402">
          <cell r="A2402" t="str">
            <v/>
          </cell>
        </row>
        <row r="2403">
          <cell r="A2403" t="str">
            <v/>
          </cell>
        </row>
        <row r="2404">
          <cell r="A2404" t="str">
            <v/>
          </cell>
        </row>
        <row r="2405">
          <cell r="A2405" t="str">
            <v/>
          </cell>
        </row>
        <row r="2406">
          <cell r="A2406" t="str">
            <v/>
          </cell>
        </row>
        <row r="2407">
          <cell r="A2407" t="str">
            <v/>
          </cell>
        </row>
        <row r="2408">
          <cell r="A2408" t="str">
            <v/>
          </cell>
        </row>
        <row r="2409">
          <cell r="A2409" t="str">
            <v/>
          </cell>
        </row>
        <row r="2410">
          <cell r="A2410" t="str">
            <v/>
          </cell>
        </row>
        <row r="2411">
          <cell r="A2411" t="str">
            <v/>
          </cell>
        </row>
        <row r="2412">
          <cell r="A2412" t="str">
            <v/>
          </cell>
        </row>
        <row r="2413">
          <cell r="A2413" t="str">
            <v/>
          </cell>
        </row>
        <row r="2414">
          <cell r="A2414" t="str">
            <v/>
          </cell>
        </row>
        <row r="2415">
          <cell r="A2415" t="str">
            <v/>
          </cell>
        </row>
        <row r="2416">
          <cell r="A2416" t="str">
            <v/>
          </cell>
        </row>
        <row r="2417">
          <cell r="A2417" t="str">
            <v/>
          </cell>
        </row>
        <row r="2418">
          <cell r="A2418" t="str">
            <v/>
          </cell>
        </row>
        <row r="2419">
          <cell r="A2419" t="str">
            <v/>
          </cell>
        </row>
        <row r="2420">
          <cell r="A2420" t="str">
            <v/>
          </cell>
        </row>
        <row r="2421">
          <cell r="A2421" t="str">
            <v/>
          </cell>
        </row>
        <row r="2422">
          <cell r="A2422" t="str">
            <v/>
          </cell>
        </row>
        <row r="2423">
          <cell r="A2423" t="str">
            <v/>
          </cell>
        </row>
        <row r="2424">
          <cell r="A2424" t="str">
            <v/>
          </cell>
        </row>
        <row r="2425">
          <cell r="A2425" t="str">
            <v/>
          </cell>
        </row>
        <row r="2426">
          <cell r="A2426" t="str">
            <v/>
          </cell>
        </row>
        <row r="2427">
          <cell r="A2427" t="str">
            <v/>
          </cell>
        </row>
        <row r="2428">
          <cell r="A2428" t="str">
            <v/>
          </cell>
        </row>
        <row r="2429">
          <cell r="A2429" t="str">
            <v/>
          </cell>
        </row>
        <row r="2430">
          <cell r="A2430" t="str">
            <v/>
          </cell>
        </row>
        <row r="2431">
          <cell r="A2431" t="str">
            <v/>
          </cell>
        </row>
        <row r="2432">
          <cell r="A2432" t="str">
            <v/>
          </cell>
        </row>
        <row r="2433">
          <cell r="A2433" t="str">
            <v/>
          </cell>
        </row>
        <row r="2434">
          <cell r="A2434" t="str">
            <v/>
          </cell>
        </row>
        <row r="2435">
          <cell r="A2435" t="str">
            <v/>
          </cell>
        </row>
        <row r="2436">
          <cell r="A2436" t="str">
            <v/>
          </cell>
        </row>
        <row r="2437">
          <cell r="A2437" t="str">
            <v/>
          </cell>
        </row>
        <row r="2438">
          <cell r="A2438" t="str">
            <v/>
          </cell>
        </row>
        <row r="2439">
          <cell r="A2439" t="str">
            <v/>
          </cell>
        </row>
        <row r="2440">
          <cell r="A2440" t="str">
            <v/>
          </cell>
        </row>
        <row r="2441">
          <cell r="A2441" t="str">
            <v/>
          </cell>
        </row>
        <row r="2442">
          <cell r="A2442" t="str">
            <v/>
          </cell>
        </row>
        <row r="2443">
          <cell r="A2443" t="str">
            <v/>
          </cell>
        </row>
        <row r="2444">
          <cell r="A2444" t="str">
            <v/>
          </cell>
        </row>
        <row r="2445">
          <cell r="A2445" t="str">
            <v/>
          </cell>
        </row>
        <row r="2446">
          <cell r="A2446" t="str">
            <v/>
          </cell>
        </row>
        <row r="2447">
          <cell r="A2447" t="str">
            <v/>
          </cell>
        </row>
        <row r="2448">
          <cell r="A2448" t="str">
            <v/>
          </cell>
        </row>
        <row r="2449">
          <cell r="A2449" t="str">
            <v/>
          </cell>
        </row>
        <row r="2450">
          <cell r="A2450" t="str">
            <v/>
          </cell>
        </row>
        <row r="2451">
          <cell r="A2451" t="str">
            <v/>
          </cell>
        </row>
        <row r="2452">
          <cell r="A2452" t="str">
            <v/>
          </cell>
        </row>
        <row r="2453">
          <cell r="A2453" t="str">
            <v/>
          </cell>
        </row>
        <row r="2454">
          <cell r="A2454" t="str">
            <v/>
          </cell>
        </row>
        <row r="2455">
          <cell r="A2455" t="str">
            <v/>
          </cell>
        </row>
        <row r="2456">
          <cell r="A2456" t="str">
            <v/>
          </cell>
        </row>
        <row r="2457">
          <cell r="A2457" t="str">
            <v/>
          </cell>
        </row>
        <row r="2458">
          <cell r="A2458" t="str">
            <v/>
          </cell>
        </row>
        <row r="2459">
          <cell r="A2459" t="str">
            <v/>
          </cell>
        </row>
        <row r="2460">
          <cell r="A2460" t="str">
            <v/>
          </cell>
        </row>
        <row r="2461">
          <cell r="A2461" t="str">
            <v/>
          </cell>
        </row>
        <row r="2462">
          <cell r="A2462" t="str">
            <v/>
          </cell>
        </row>
        <row r="2463">
          <cell r="A2463" t="str">
            <v/>
          </cell>
        </row>
        <row r="2464">
          <cell r="A2464" t="str">
            <v/>
          </cell>
        </row>
        <row r="2465">
          <cell r="A2465" t="str">
            <v/>
          </cell>
        </row>
        <row r="2466">
          <cell r="A2466" t="str">
            <v/>
          </cell>
        </row>
        <row r="2467">
          <cell r="A2467" t="str">
            <v/>
          </cell>
        </row>
        <row r="2468">
          <cell r="A2468" t="str">
            <v/>
          </cell>
        </row>
        <row r="2469">
          <cell r="A2469" t="str">
            <v/>
          </cell>
        </row>
        <row r="2470">
          <cell r="A2470" t="str">
            <v/>
          </cell>
        </row>
        <row r="2471">
          <cell r="A2471" t="str">
            <v/>
          </cell>
        </row>
        <row r="2472">
          <cell r="A2472" t="str">
            <v/>
          </cell>
        </row>
        <row r="2473">
          <cell r="A2473" t="str">
            <v/>
          </cell>
        </row>
        <row r="2474">
          <cell r="A2474" t="str">
            <v/>
          </cell>
        </row>
        <row r="2475">
          <cell r="A2475" t="str">
            <v/>
          </cell>
        </row>
        <row r="2476">
          <cell r="A2476" t="str">
            <v/>
          </cell>
        </row>
        <row r="2477">
          <cell r="A2477" t="str">
            <v/>
          </cell>
        </row>
        <row r="2478">
          <cell r="A2478" t="str">
            <v/>
          </cell>
        </row>
        <row r="2479">
          <cell r="A2479" t="str">
            <v/>
          </cell>
        </row>
        <row r="2480">
          <cell r="A2480" t="str">
            <v/>
          </cell>
        </row>
        <row r="2481">
          <cell r="A2481" t="str">
            <v/>
          </cell>
        </row>
        <row r="2482">
          <cell r="A2482" t="str">
            <v/>
          </cell>
        </row>
        <row r="2483">
          <cell r="A2483" t="str">
            <v/>
          </cell>
        </row>
        <row r="2484">
          <cell r="A2484" t="str">
            <v/>
          </cell>
        </row>
        <row r="2485">
          <cell r="A2485" t="str">
            <v/>
          </cell>
        </row>
        <row r="2486">
          <cell r="A2486" t="str">
            <v/>
          </cell>
        </row>
        <row r="2487">
          <cell r="A2487" t="str">
            <v/>
          </cell>
        </row>
        <row r="2488">
          <cell r="A2488" t="str">
            <v/>
          </cell>
        </row>
        <row r="2489">
          <cell r="A2489" t="str">
            <v/>
          </cell>
        </row>
        <row r="2490">
          <cell r="A2490" t="str">
            <v/>
          </cell>
        </row>
        <row r="2491">
          <cell r="A2491" t="str">
            <v/>
          </cell>
        </row>
        <row r="2492">
          <cell r="A2492" t="str">
            <v/>
          </cell>
        </row>
        <row r="2493">
          <cell r="A2493" t="str">
            <v/>
          </cell>
        </row>
        <row r="2494">
          <cell r="A2494" t="str">
            <v/>
          </cell>
        </row>
        <row r="2495">
          <cell r="A2495" t="str">
            <v/>
          </cell>
        </row>
        <row r="2496">
          <cell r="A2496" t="str">
            <v/>
          </cell>
        </row>
        <row r="2497">
          <cell r="A2497" t="str">
            <v/>
          </cell>
        </row>
        <row r="2498">
          <cell r="A2498" t="str">
            <v/>
          </cell>
        </row>
        <row r="2499">
          <cell r="A2499" t="str">
            <v/>
          </cell>
        </row>
        <row r="2500">
          <cell r="A2500" t="str">
            <v/>
          </cell>
        </row>
        <row r="2501">
          <cell r="A2501" t="str">
            <v/>
          </cell>
        </row>
        <row r="2502">
          <cell r="A2502" t="str">
            <v/>
          </cell>
        </row>
        <row r="2503">
          <cell r="A2503" t="str">
            <v/>
          </cell>
        </row>
        <row r="2504">
          <cell r="A2504" t="str">
            <v/>
          </cell>
        </row>
        <row r="2505">
          <cell r="A2505" t="str">
            <v/>
          </cell>
        </row>
        <row r="2506">
          <cell r="A2506" t="str">
            <v/>
          </cell>
        </row>
        <row r="2507">
          <cell r="A2507" t="str">
            <v/>
          </cell>
        </row>
        <row r="2508">
          <cell r="A2508" t="str">
            <v/>
          </cell>
        </row>
        <row r="2509">
          <cell r="A2509" t="str">
            <v/>
          </cell>
        </row>
        <row r="2510">
          <cell r="A2510" t="str">
            <v/>
          </cell>
        </row>
        <row r="2511">
          <cell r="A2511" t="str">
            <v/>
          </cell>
        </row>
        <row r="2512">
          <cell r="A2512" t="str">
            <v/>
          </cell>
        </row>
        <row r="2513">
          <cell r="A2513" t="str">
            <v/>
          </cell>
        </row>
        <row r="2514">
          <cell r="A2514" t="str">
            <v/>
          </cell>
        </row>
        <row r="2515">
          <cell r="A2515" t="str">
            <v/>
          </cell>
        </row>
        <row r="2516">
          <cell r="A2516" t="str">
            <v/>
          </cell>
        </row>
        <row r="2517">
          <cell r="A2517" t="str">
            <v/>
          </cell>
        </row>
        <row r="2518">
          <cell r="A2518" t="str">
            <v/>
          </cell>
        </row>
        <row r="2519">
          <cell r="A2519" t="str">
            <v/>
          </cell>
        </row>
        <row r="2520">
          <cell r="A2520" t="str">
            <v/>
          </cell>
        </row>
        <row r="2521">
          <cell r="A2521" t="str">
            <v/>
          </cell>
        </row>
        <row r="2522">
          <cell r="A2522" t="str">
            <v/>
          </cell>
        </row>
        <row r="2523">
          <cell r="A2523" t="str">
            <v/>
          </cell>
        </row>
        <row r="2524">
          <cell r="A2524" t="str">
            <v/>
          </cell>
        </row>
        <row r="2525">
          <cell r="A2525" t="str">
            <v/>
          </cell>
        </row>
        <row r="2526">
          <cell r="A2526" t="str">
            <v/>
          </cell>
        </row>
        <row r="2527">
          <cell r="A2527" t="str">
            <v/>
          </cell>
        </row>
        <row r="2528">
          <cell r="A2528" t="str">
            <v/>
          </cell>
        </row>
        <row r="2529">
          <cell r="A2529" t="str">
            <v/>
          </cell>
        </row>
        <row r="2530">
          <cell r="A2530" t="str">
            <v/>
          </cell>
        </row>
        <row r="2531">
          <cell r="A2531" t="str">
            <v/>
          </cell>
        </row>
        <row r="2532">
          <cell r="A2532" t="str">
            <v/>
          </cell>
        </row>
        <row r="2533">
          <cell r="A2533" t="str">
            <v/>
          </cell>
        </row>
        <row r="2534">
          <cell r="A2534" t="str">
            <v/>
          </cell>
        </row>
        <row r="2535">
          <cell r="A2535" t="str">
            <v/>
          </cell>
        </row>
        <row r="2536">
          <cell r="A2536" t="str">
            <v/>
          </cell>
        </row>
        <row r="2537">
          <cell r="A2537" t="str">
            <v/>
          </cell>
        </row>
        <row r="2538">
          <cell r="A2538" t="str">
            <v/>
          </cell>
        </row>
        <row r="2539">
          <cell r="A2539" t="str">
            <v/>
          </cell>
        </row>
        <row r="2540">
          <cell r="A2540" t="str">
            <v/>
          </cell>
        </row>
        <row r="2541">
          <cell r="A2541" t="str">
            <v/>
          </cell>
        </row>
        <row r="2542">
          <cell r="A2542" t="str">
            <v/>
          </cell>
        </row>
        <row r="2543">
          <cell r="A2543" t="str">
            <v/>
          </cell>
        </row>
        <row r="2544">
          <cell r="A2544" t="str">
            <v/>
          </cell>
        </row>
        <row r="2545">
          <cell r="A2545" t="str">
            <v/>
          </cell>
        </row>
        <row r="2546">
          <cell r="A2546" t="str">
            <v/>
          </cell>
        </row>
        <row r="2547">
          <cell r="A2547" t="str">
            <v/>
          </cell>
        </row>
        <row r="2548">
          <cell r="A2548" t="str">
            <v/>
          </cell>
        </row>
        <row r="2549">
          <cell r="A2549" t="str">
            <v/>
          </cell>
        </row>
        <row r="2550">
          <cell r="A2550" t="str">
            <v/>
          </cell>
        </row>
        <row r="2551">
          <cell r="A2551" t="str">
            <v/>
          </cell>
        </row>
        <row r="2552">
          <cell r="A2552" t="str">
            <v/>
          </cell>
        </row>
        <row r="2553">
          <cell r="A2553" t="str">
            <v/>
          </cell>
        </row>
        <row r="2554">
          <cell r="A2554" t="str">
            <v/>
          </cell>
        </row>
        <row r="2555">
          <cell r="A2555" t="str">
            <v/>
          </cell>
        </row>
        <row r="2556">
          <cell r="A2556" t="str">
            <v/>
          </cell>
        </row>
        <row r="2557">
          <cell r="A2557" t="str">
            <v/>
          </cell>
        </row>
        <row r="2558">
          <cell r="A2558" t="str">
            <v/>
          </cell>
        </row>
        <row r="2559">
          <cell r="A2559" t="str">
            <v/>
          </cell>
        </row>
        <row r="2560">
          <cell r="A2560" t="str">
            <v/>
          </cell>
        </row>
        <row r="2561">
          <cell r="A2561" t="str">
            <v/>
          </cell>
        </row>
        <row r="2562">
          <cell r="A2562" t="str">
            <v/>
          </cell>
        </row>
        <row r="2563">
          <cell r="A2563" t="str">
            <v/>
          </cell>
        </row>
        <row r="2564">
          <cell r="A2564" t="str">
            <v/>
          </cell>
        </row>
        <row r="2565">
          <cell r="A2565" t="str">
            <v/>
          </cell>
        </row>
        <row r="2566">
          <cell r="A2566" t="str">
            <v/>
          </cell>
        </row>
        <row r="2567">
          <cell r="A2567" t="str">
            <v/>
          </cell>
        </row>
        <row r="2568">
          <cell r="A2568" t="str">
            <v/>
          </cell>
        </row>
        <row r="2569">
          <cell r="A2569" t="str">
            <v/>
          </cell>
        </row>
        <row r="2570">
          <cell r="A2570" t="str">
            <v/>
          </cell>
        </row>
        <row r="2571">
          <cell r="A2571" t="str">
            <v/>
          </cell>
        </row>
        <row r="2572">
          <cell r="A2572" t="str">
            <v/>
          </cell>
        </row>
        <row r="2573">
          <cell r="A2573" t="str">
            <v/>
          </cell>
        </row>
        <row r="2574">
          <cell r="A2574" t="str">
            <v/>
          </cell>
        </row>
        <row r="2575">
          <cell r="A2575" t="str">
            <v/>
          </cell>
        </row>
        <row r="2576">
          <cell r="A2576" t="str">
            <v/>
          </cell>
        </row>
        <row r="2577">
          <cell r="A2577" t="str">
            <v/>
          </cell>
        </row>
        <row r="2578">
          <cell r="A2578" t="str">
            <v/>
          </cell>
        </row>
        <row r="2579">
          <cell r="A2579" t="str">
            <v/>
          </cell>
        </row>
        <row r="2580">
          <cell r="A2580" t="str">
            <v/>
          </cell>
        </row>
        <row r="2581">
          <cell r="A2581" t="str">
            <v/>
          </cell>
        </row>
        <row r="2582">
          <cell r="A2582" t="str">
            <v/>
          </cell>
        </row>
        <row r="2583">
          <cell r="A2583" t="str">
            <v/>
          </cell>
        </row>
        <row r="2584">
          <cell r="A2584" t="str">
            <v/>
          </cell>
        </row>
        <row r="2585">
          <cell r="A2585" t="str">
            <v/>
          </cell>
        </row>
        <row r="2586">
          <cell r="A2586" t="str">
            <v/>
          </cell>
        </row>
        <row r="2587">
          <cell r="A2587" t="str">
            <v/>
          </cell>
        </row>
        <row r="2588">
          <cell r="A2588" t="str">
            <v/>
          </cell>
        </row>
        <row r="2589">
          <cell r="A2589" t="str">
            <v/>
          </cell>
        </row>
        <row r="2590">
          <cell r="A2590" t="str">
            <v/>
          </cell>
        </row>
        <row r="2591">
          <cell r="A2591" t="str">
            <v/>
          </cell>
        </row>
        <row r="2592">
          <cell r="A2592" t="str">
            <v/>
          </cell>
        </row>
        <row r="2593">
          <cell r="A2593" t="str">
            <v/>
          </cell>
        </row>
        <row r="2594">
          <cell r="A2594" t="str">
            <v/>
          </cell>
        </row>
        <row r="2595">
          <cell r="A2595" t="str">
            <v/>
          </cell>
        </row>
        <row r="2596">
          <cell r="A2596" t="str">
            <v/>
          </cell>
        </row>
        <row r="2597">
          <cell r="A2597" t="str">
            <v/>
          </cell>
        </row>
        <row r="2598">
          <cell r="A2598" t="str">
            <v/>
          </cell>
        </row>
        <row r="2599">
          <cell r="A2599" t="str">
            <v/>
          </cell>
        </row>
        <row r="2600">
          <cell r="A2600" t="str">
            <v/>
          </cell>
        </row>
        <row r="2601">
          <cell r="A2601" t="str">
            <v/>
          </cell>
        </row>
        <row r="2602">
          <cell r="A2602" t="str">
            <v/>
          </cell>
        </row>
        <row r="2603">
          <cell r="A2603" t="str">
            <v/>
          </cell>
        </row>
        <row r="2604">
          <cell r="A2604" t="str">
            <v/>
          </cell>
        </row>
        <row r="2605">
          <cell r="A2605" t="str">
            <v/>
          </cell>
        </row>
        <row r="2606">
          <cell r="A2606" t="str">
            <v/>
          </cell>
        </row>
        <row r="2607">
          <cell r="A2607" t="str">
            <v/>
          </cell>
        </row>
        <row r="2608">
          <cell r="A2608" t="str">
            <v/>
          </cell>
        </row>
        <row r="2609">
          <cell r="A2609" t="str">
            <v/>
          </cell>
        </row>
        <row r="2610">
          <cell r="A2610" t="str">
            <v/>
          </cell>
        </row>
        <row r="2611">
          <cell r="A2611" t="str">
            <v/>
          </cell>
        </row>
        <row r="2612">
          <cell r="A2612" t="str">
            <v/>
          </cell>
        </row>
        <row r="2613">
          <cell r="A2613" t="str">
            <v/>
          </cell>
        </row>
        <row r="2614">
          <cell r="A2614" t="str">
            <v/>
          </cell>
        </row>
        <row r="2615">
          <cell r="A2615" t="str">
            <v/>
          </cell>
        </row>
        <row r="2616">
          <cell r="A2616" t="str">
            <v/>
          </cell>
        </row>
        <row r="2617">
          <cell r="A2617" t="str">
            <v/>
          </cell>
        </row>
        <row r="2618">
          <cell r="A2618" t="str">
            <v/>
          </cell>
        </row>
        <row r="2619">
          <cell r="A2619" t="str">
            <v/>
          </cell>
        </row>
        <row r="2620">
          <cell r="A2620" t="str">
            <v/>
          </cell>
        </row>
        <row r="2621">
          <cell r="A2621" t="str">
            <v/>
          </cell>
        </row>
        <row r="2622">
          <cell r="A2622" t="str">
            <v/>
          </cell>
        </row>
        <row r="2623">
          <cell r="A2623" t="str">
            <v/>
          </cell>
        </row>
        <row r="2624">
          <cell r="A2624" t="str">
            <v/>
          </cell>
        </row>
        <row r="2625">
          <cell r="A2625" t="str">
            <v/>
          </cell>
        </row>
        <row r="2626">
          <cell r="A2626" t="str">
            <v/>
          </cell>
        </row>
        <row r="2627">
          <cell r="A2627" t="str">
            <v/>
          </cell>
        </row>
        <row r="2628">
          <cell r="A2628" t="str">
            <v/>
          </cell>
        </row>
        <row r="2629">
          <cell r="A2629" t="str">
            <v/>
          </cell>
        </row>
        <row r="2630">
          <cell r="A2630" t="str">
            <v/>
          </cell>
        </row>
        <row r="2631">
          <cell r="A2631" t="str">
            <v/>
          </cell>
        </row>
        <row r="2632">
          <cell r="A2632" t="str">
            <v/>
          </cell>
        </row>
        <row r="2633">
          <cell r="A2633" t="str">
            <v/>
          </cell>
        </row>
        <row r="2634">
          <cell r="A2634" t="str">
            <v/>
          </cell>
        </row>
        <row r="2635">
          <cell r="A2635" t="str">
            <v/>
          </cell>
        </row>
        <row r="2636">
          <cell r="A2636" t="str">
            <v/>
          </cell>
        </row>
        <row r="2637">
          <cell r="A2637" t="str">
            <v/>
          </cell>
        </row>
        <row r="2638">
          <cell r="A2638" t="str">
            <v/>
          </cell>
        </row>
        <row r="2639">
          <cell r="A2639" t="str">
            <v/>
          </cell>
        </row>
        <row r="2640">
          <cell r="A2640" t="str">
            <v/>
          </cell>
        </row>
        <row r="2641">
          <cell r="A2641" t="str">
            <v/>
          </cell>
        </row>
        <row r="2642">
          <cell r="A2642" t="str">
            <v/>
          </cell>
        </row>
        <row r="2643">
          <cell r="A2643" t="str">
            <v/>
          </cell>
        </row>
        <row r="2644">
          <cell r="A2644" t="str">
            <v/>
          </cell>
        </row>
        <row r="2645">
          <cell r="A2645" t="str">
            <v/>
          </cell>
        </row>
        <row r="2646">
          <cell r="A2646" t="str">
            <v/>
          </cell>
        </row>
        <row r="2647">
          <cell r="A2647" t="str">
            <v/>
          </cell>
        </row>
        <row r="2648">
          <cell r="A2648" t="str">
            <v/>
          </cell>
        </row>
        <row r="2649">
          <cell r="A2649" t="str">
            <v/>
          </cell>
        </row>
        <row r="2650">
          <cell r="A2650" t="str">
            <v/>
          </cell>
        </row>
        <row r="2651">
          <cell r="A2651" t="str">
            <v/>
          </cell>
        </row>
        <row r="2652">
          <cell r="A2652" t="str">
            <v/>
          </cell>
        </row>
        <row r="2653">
          <cell r="A2653" t="str">
            <v/>
          </cell>
        </row>
        <row r="2654">
          <cell r="A2654" t="str">
            <v/>
          </cell>
        </row>
        <row r="2655">
          <cell r="A2655" t="str">
            <v/>
          </cell>
        </row>
        <row r="2656">
          <cell r="A2656" t="str">
            <v/>
          </cell>
        </row>
        <row r="2657">
          <cell r="A2657" t="str">
            <v/>
          </cell>
        </row>
        <row r="2658">
          <cell r="A2658" t="str">
            <v/>
          </cell>
        </row>
        <row r="2659">
          <cell r="A2659" t="str">
            <v/>
          </cell>
        </row>
        <row r="2660">
          <cell r="A2660" t="str">
            <v/>
          </cell>
        </row>
        <row r="2661">
          <cell r="A2661" t="str">
            <v/>
          </cell>
        </row>
        <row r="2662">
          <cell r="A2662" t="str">
            <v/>
          </cell>
        </row>
        <row r="2663">
          <cell r="A2663" t="str">
            <v/>
          </cell>
        </row>
        <row r="2664">
          <cell r="A2664" t="str">
            <v/>
          </cell>
        </row>
        <row r="2665">
          <cell r="A2665" t="str">
            <v/>
          </cell>
        </row>
        <row r="2666">
          <cell r="A2666" t="str">
            <v/>
          </cell>
        </row>
        <row r="2667">
          <cell r="A2667" t="str">
            <v/>
          </cell>
        </row>
        <row r="2668">
          <cell r="A2668" t="str">
            <v/>
          </cell>
        </row>
        <row r="2669">
          <cell r="A2669" t="str">
            <v/>
          </cell>
        </row>
        <row r="2670">
          <cell r="A2670" t="str">
            <v/>
          </cell>
        </row>
        <row r="2671">
          <cell r="A2671" t="str">
            <v/>
          </cell>
        </row>
        <row r="2672">
          <cell r="A2672" t="str">
            <v/>
          </cell>
        </row>
        <row r="2673">
          <cell r="A2673" t="str">
            <v/>
          </cell>
        </row>
        <row r="2674">
          <cell r="A2674" t="str">
            <v/>
          </cell>
        </row>
        <row r="2675">
          <cell r="A2675" t="str">
            <v/>
          </cell>
        </row>
        <row r="2676">
          <cell r="A2676" t="str">
            <v/>
          </cell>
        </row>
        <row r="2677">
          <cell r="A2677" t="str">
            <v/>
          </cell>
        </row>
        <row r="2678">
          <cell r="A2678" t="str">
            <v/>
          </cell>
        </row>
        <row r="2679">
          <cell r="A2679" t="str">
            <v/>
          </cell>
        </row>
        <row r="2680">
          <cell r="A2680" t="str">
            <v/>
          </cell>
        </row>
        <row r="2681">
          <cell r="A2681" t="str">
            <v/>
          </cell>
        </row>
        <row r="2682">
          <cell r="A2682" t="str">
            <v/>
          </cell>
        </row>
        <row r="2683">
          <cell r="A2683" t="str">
            <v/>
          </cell>
        </row>
        <row r="2684">
          <cell r="A2684" t="str">
            <v/>
          </cell>
        </row>
        <row r="2685">
          <cell r="A2685" t="str">
            <v/>
          </cell>
        </row>
        <row r="2686">
          <cell r="A2686" t="str">
            <v/>
          </cell>
        </row>
        <row r="2687">
          <cell r="A2687" t="str">
            <v/>
          </cell>
        </row>
        <row r="2688">
          <cell r="A2688" t="str">
            <v/>
          </cell>
        </row>
        <row r="2689">
          <cell r="A2689" t="str">
            <v/>
          </cell>
        </row>
        <row r="2690">
          <cell r="A2690" t="str">
            <v/>
          </cell>
        </row>
        <row r="2691">
          <cell r="A2691" t="str">
            <v/>
          </cell>
        </row>
        <row r="2692">
          <cell r="A2692" t="str">
            <v/>
          </cell>
        </row>
        <row r="2693">
          <cell r="A2693" t="str">
            <v/>
          </cell>
        </row>
        <row r="2694">
          <cell r="A2694" t="str">
            <v/>
          </cell>
        </row>
        <row r="2695">
          <cell r="A2695" t="str">
            <v/>
          </cell>
        </row>
        <row r="2696">
          <cell r="A2696" t="str">
            <v/>
          </cell>
        </row>
        <row r="2697">
          <cell r="A2697" t="str">
            <v/>
          </cell>
        </row>
        <row r="2698">
          <cell r="A2698" t="str">
            <v/>
          </cell>
        </row>
        <row r="2699">
          <cell r="A2699" t="str">
            <v/>
          </cell>
        </row>
        <row r="2700">
          <cell r="A2700" t="str">
            <v/>
          </cell>
        </row>
        <row r="2701">
          <cell r="A2701" t="str">
            <v/>
          </cell>
        </row>
        <row r="2702">
          <cell r="A2702" t="str">
            <v/>
          </cell>
        </row>
        <row r="2703">
          <cell r="A2703" t="str">
            <v/>
          </cell>
        </row>
        <row r="2704">
          <cell r="A2704" t="str">
            <v/>
          </cell>
        </row>
        <row r="2705">
          <cell r="A2705" t="str">
            <v/>
          </cell>
        </row>
        <row r="2706">
          <cell r="A2706" t="str">
            <v/>
          </cell>
        </row>
        <row r="2707">
          <cell r="A2707" t="str">
            <v/>
          </cell>
        </row>
        <row r="2708">
          <cell r="A2708" t="str">
            <v/>
          </cell>
        </row>
        <row r="2709">
          <cell r="A2709" t="str">
            <v/>
          </cell>
        </row>
        <row r="2710">
          <cell r="A2710" t="str">
            <v/>
          </cell>
        </row>
        <row r="2711">
          <cell r="A2711" t="str">
            <v/>
          </cell>
        </row>
        <row r="2712">
          <cell r="A2712" t="str">
            <v/>
          </cell>
        </row>
        <row r="2713">
          <cell r="A2713" t="str">
            <v/>
          </cell>
        </row>
        <row r="2714">
          <cell r="A2714" t="str">
            <v/>
          </cell>
        </row>
        <row r="2715">
          <cell r="A2715" t="str">
            <v/>
          </cell>
        </row>
        <row r="2716">
          <cell r="A2716" t="str">
            <v/>
          </cell>
        </row>
        <row r="2717">
          <cell r="A2717" t="str">
            <v/>
          </cell>
        </row>
        <row r="2718">
          <cell r="A2718" t="str">
            <v/>
          </cell>
        </row>
        <row r="2719">
          <cell r="A2719" t="str">
            <v/>
          </cell>
        </row>
        <row r="2720">
          <cell r="A2720" t="str">
            <v/>
          </cell>
        </row>
        <row r="2721">
          <cell r="A2721" t="str">
            <v/>
          </cell>
        </row>
        <row r="2722">
          <cell r="A2722" t="str">
            <v/>
          </cell>
        </row>
        <row r="2723">
          <cell r="A2723" t="str">
            <v/>
          </cell>
        </row>
        <row r="2724">
          <cell r="A2724" t="str">
            <v/>
          </cell>
        </row>
        <row r="2725">
          <cell r="A2725" t="str">
            <v/>
          </cell>
        </row>
        <row r="2726">
          <cell r="A2726" t="str">
            <v/>
          </cell>
        </row>
        <row r="2727">
          <cell r="A2727" t="str">
            <v/>
          </cell>
        </row>
        <row r="2728">
          <cell r="A2728" t="str">
            <v/>
          </cell>
        </row>
        <row r="2729">
          <cell r="A2729" t="str">
            <v/>
          </cell>
        </row>
        <row r="2730">
          <cell r="A2730" t="str">
            <v/>
          </cell>
        </row>
        <row r="2731">
          <cell r="A2731" t="str">
            <v/>
          </cell>
        </row>
        <row r="2732">
          <cell r="A2732" t="str">
            <v/>
          </cell>
        </row>
        <row r="2733">
          <cell r="A2733" t="str">
            <v/>
          </cell>
        </row>
        <row r="2734">
          <cell r="A2734" t="str">
            <v/>
          </cell>
        </row>
        <row r="2735">
          <cell r="A2735" t="str">
            <v/>
          </cell>
        </row>
        <row r="2736">
          <cell r="A2736" t="str">
            <v/>
          </cell>
        </row>
        <row r="2737">
          <cell r="A2737" t="str">
            <v/>
          </cell>
        </row>
        <row r="2738">
          <cell r="A2738" t="str">
            <v/>
          </cell>
        </row>
        <row r="2739">
          <cell r="A2739" t="str">
            <v/>
          </cell>
        </row>
        <row r="2740">
          <cell r="A2740" t="str">
            <v/>
          </cell>
        </row>
        <row r="2741">
          <cell r="A2741" t="str">
            <v/>
          </cell>
        </row>
        <row r="2742">
          <cell r="A2742" t="str">
            <v/>
          </cell>
        </row>
        <row r="2743">
          <cell r="A2743" t="str">
            <v/>
          </cell>
        </row>
        <row r="2744">
          <cell r="A2744" t="str">
            <v/>
          </cell>
        </row>
        <row r="2745">
          <cell r="A2745" t="str">
            <v/>
          </cell>
        </row>
        <row r="2746">
          <cell r="A2746" t="str">
            <v/>
          </cell>
        </row>
        <row r="2747">
          <cell r="A2747" t="str">
            <v/>
          </cell>
        </row>
        <row r="2748">
          <cell r="A2748" t="str">
            <v/>
          </cell>
        </row>
        <row r="2749">
          <cell r="A2749" t="str">
            <v/>
          </cell>
        </row>
        <row r="2750">
          <cell r="A2750" t="str">
            <v/>
          </cell>
        </row>
        <row r="2751">
          <cell r="A2751" t="str">
            <v/>
          </cell>
        </row>
        <row r="2752">
          <cell r="A2752" t="str">
            <v/>
          </cell>
        </row>
        <row r="2753">
          <cell r="A2753" t="str">
            <v/>
          </cell>
        </row>
        <row r="2754">
          <cell r="A2754" t="str">
            <v/>
          </cell>
        </row>
        <row r="2755">
          <cell r="A2755" t="str">
            <v/>
          </cell>
        </row>
        <row r="2756">
          <cell r="A2756" t="str">
            <v/>
          </cell>
        </row>
        <row r="2757">
          <cell r="A2757" t="str">
            <v/>
          </cell>
        </row>
        <row r="2758">
          <cell r="A2758" t="str">
            <v/>
          </cell>
        </row>
        <row r="2759">
          <cell r="A2759" t="str">
            <v/>
          </cell>
        </row>
        <row r="2760">
          <cell r="A2760" t="str">
            <v/>
          </cell>
        </row>
        <row r="2761">
          <cell r="A2761" t="str">
            <v/>
          </cell>
        </row>
        <row r="2762">
          <cell r="A2762" t="str">
            <v/>
          </cell>
        </row>
        <row r="2763">
          <cell r="A2763" t="str">
            <v/>
          </cell>
        </row>
        <row r="2764">
          <cell r="A2764" t="str">
            <v/>
          </cell>
        </row>
        <row r="2765">
          <cell r="A2765" t="str">
            <v/>
          </cell>
        </row>
        <row r="2766">
          <cell r="A2766" t="str">
            <v/>
          </cell>
        </row>
        <row r="2767">
          <cell r="A2767" t="str">
            <v/>
          </cell>
        </row>
        <row r="2768">
          <cell r="A2768" t="str">
            <v/>
          </cell>
        </row>
        <row r="2769">
          <cell r="A2769" t="str">
            <v/>
          </cell>
        </row>
        <row r="2770">
          <cell r="A2770" t="str">
            <v/>
          </cell>
        </row>
        <row r="2771">
          <cell r="A2771" t="str">
            <v/>
          </cell>
        </row>
        <row r="2772">
          <cell r="A2772" t="str">
            <v/>
          </cell>
        </row>
        <row r="2773">
          <cell r="A2773" t="str">
            <v/>
          </cell>
        </row>
        <row r="2774">
          <cell r="A2774" t="str">
            <v/>
          </cell>
        </row>
        <row r="2775">
          <cell r="A2775" t="str">
            <v/>
          </cell>
        </row>
        <row r="2776">
          <cell r="A2776" t="str">
            <v/>
          </cell>
        </row>
        <row r="2777">
          <cell r="A2777" t="str">
            <v/>
          </cell>
        </row>
        <row r="2778">
          <cell r="A2778" t="str">
            <v/>
          </cell>
        </row>
        <row r="2779">
          <cell r="A2779" t="str">
            <v/>
          </cell>
        </row>
        <row r="2780">
          <cell r="A2780" t="str">
            <v/>
          </cell>
        </row>
        <row r="2781">
          <cell r="A2781" t="str">
            <v/>
          </cell>
        </row>
        <row r="2782">
          <cell r="A2782" t="str">
            <v/>
          </cell>
        </row>
        <row r="2783">
          <cell r="A2783" t="str">
            <v/>
          </cell>
        </row>
        <row r="2784">
          <cell r="A2784" t="str">
            <v/>
          </cell>
        </row>
        <row r="2785">
          <cell r="A2785" t="str">
            <v/>
          </cell>
        </row>
        <row r="2786">
          <cell r="A2786" t="str">
            <v/>
          </cell>
        </row>
        <row r="2787">
          <cell r="A2787" t="str">
            <v/>
          </cell>
        </row>
        <row r="2788">
          <cell r="A2788" t="str">
            <v/>
          </cell>
        </row>
        <row r="2789">
          <cell r="A2789" t="str">
            <v/>
          </cell>
        </row>
        <row r="2790">
          <cell r="A2790" t="str">
            <v/>
          </cell>
        </row>
        <row r="2791">
          <cell r="A2791" t="str">
            <v/>
          </cell>
        </row>
        <row r="2792">
          <cell r="A2792" t="str">
            <v/>
          </cell>
        </row>
        <row r="2793">
          <cell r="A2793" t="str">
            <v/>
          </cell>
        </row>
        <row r="2794">
          <cell r="A2794" t="str">
            <v/>
          </cell>
        </row>
        <row r="2795">
          <cell r="A2795" t="str">
            <v/>
          </cell>
        </row>
        <row r="2796">
          <cell r="A2796" t="str">
            <v/>
          </cell>
        </row>
        <row r="2797">
          <cell r="A2797" t="str">
            <v/>
          </cell>
        </row>
        <row r="2798">
          <cell r="A2798" t="str">
            <v/>
          </cell>
        </row>
        <row r="2799">
          <cell r="A2799" t="str">
            <v/>
          </cell>
        </row>
        <row r="2800">
          <cell r="A2800" t="str">
            <v/>
          </cell>
        </row>
        <row r="2801">
          <cell r="A2801" t="str">
            <v/>
          </cell>
        </row>
        <row r="2802">
          <cell r="A2802" t="str">
            <v/>
          </cell>
        </row>
        <row r="2803">
          <cell r="A2803" t="str">
            <v/>
          </cell>
        </row>
        <row r="2804">
          <cell r="A2804" t="str">
            <v/>
          </cell>
        </row>
        <row r="2805">
          <cell r="A2805" t="str">
            <v/>
          </cell>
        </row>
        <row r="2806">
          <cell r="A2806" t="str">
            <v/>
          </cell>
        </row>
        <row r="2807">
          <cell r="A2807" t="str">
            <v/>
          </cell>
        </row>
        <row r="2808">
          <cell r="A2808" t="str">
            <v/>
          </cell>
        </row>
        <row r="2809">
          <cell r="A2809" t="str">
            <v/>
          </cell>
        </row>
        <row r="2810">
          <cell r="A2810" t="str">
            <v/>
          </cell>
        </row>
        <row r="2811">
          <cell r="A2811" t="str">
            <v/>
          </cell>
        </row>
        <row r="2812">
          <cell r="A2812" t="str">
            <v/>
          </cell>
        </row>
        <row r="2813">
          <cell r="A2813" t="str">
            <v/>
          </cell>
        </row>
        <row r="2814">
          <cell r="A2814" t="str">
            <v/>
          </cell>
        </row>
        <row r="2815">
          <cell r="A2815" t="str">
            <v/>
          </cell>
        </row>
        <row r="2816">
          <cell r="A2816" t="str">
            <v/>
          </cell>
        </row>
        <row r="2817">
          <cell r="A2817" t="str">
            <v/>
          </cell>
        </row>
        <row r="2818">
          <cell r="A2818" t="str">
            <v/>
          </cell>
        </row>
        <row r="2819">
          <cell r="A2819" t="str">
            <v/>
          </cell>
        </row>
        <row r="2820">
          <cell r="A2820" t="str">
            <v/>
          </cell>
        </row>
        <row r="2821">
          <cell r="A2821" t="str">
            <v/>
          </cell>
        </row>
        <row r="2822">
          <cell r="A2822" t="str">
            <v/>
          </cell>
        </row>
        <row r="2823">
          <cell r="A2823" t="str">
            <v/>
          </cell>
        </row>
        <row r="2824">
          <cell r="A2824" t="str">
            <v/>
          </cell>
        </row>
        <row r="2825">
          <cell r="A2825" t="str">
            <v/>
          </cell>
        </row>
        <row r="2826">
          <cell r="A2826" t="str">
            <v/>
          </cell>
        </row>
        <row r="2827">
          <cell r="A2827" t="str">
            <v/>
          </cell>
        </row>
        <row r="2828">
          <cell r="A2828" t="str">
            <v/>
          </cell>
        </row>
        <row r="2829">
          <cell r="A2829" t="str">
            <v/>
          </cell>
        </row>
        <row r="2830">
          <cell r="A2830" t="str">
            <v/>
          </cell>
        </row>
        <row r="2831">
          <cell r="A2831" t="str">
            <v/>
          </cell>
        </row>
        <row r="2832">
          <cell r="A2832" t="str">
            <v/>
          </cell>
        </row>
        <row r="2833">
          <cell r="A2833" t="str">
            <v/>
          </cell>
        </row>
        <row r="2834">
          <cell r="A2834" t="str">
            <v/>
          </cell>
        </row>
        <row r="2835">
          <cell r="A2835" t="str">
            <v/>
          </cell>
        </row>
        <row r="2836">
          <cell r="A2836" t="str">
            <v/>
          </cell>
        </row>
        <row r="2837">
          <cell r="A2837" t="str">
            <v/>
          </cell>
        </row>
        <row r="2838">
          <cell r="A2838" t="str">
            <v/>
          </cell>
        </row>
        <row r="2839">
          <cell r="A2839" t="str">
            <v/>
          </cell>
        </row>
        <row r="2840">
          <cell r="A2840" t="str">
            <v/>
          </cell>
        </row>
        <row r="2841">
          <cell r="A2841" t="str">
            <v/>
          </cell>
        </row>
        <row r="2842">
          <cell r="A2842" t="str">
            <v/>
          </cell>
        </row>
        <row r="2843">
          <cell r="A2843" t="str">
            <v/>
          </cell>
        </row>
        <row r="2844">
          <cell r="A2844" t="str">
            <v/>
          </cell>
        </row>
        <row r="2845">
          <cell r="A2845" t="str">
            <v/>
          </cell>
        </row>
        <row r="2846">
          <cell r="A2846" t="str">
            <v/>
          </cell>
        </row>
        <row r="2847">
          <cell r="A2847" t="str">
            <v/>
          </cell>
        </row>
        <row r="2848">
          <cell r="A2848" t="str">
            <v/>
          </cell>
        </row>
        <row r="2849">
          <cell r="A2849" t="str">
            <v/>
          </cell>
        </row>
        <row r="2850">
          <cell r="A2850" t="str">
            <v/>
          </cell>
        </row>
        <row r="2851">
          <cell r="A2851" t="str">
            <v/>
          </cell>
        </row>
        <row r="2852">
          <cell r="A2852" t="str">
            <v/>
          </cell>
        </row>
        <row r="2853">
          <cell r="A2853" t="str">
            <v/>
          </cell>
        </row>
        <row r="2854">
          <cell r="A2854" t="str">
            <v/>
          </cell>
        </row>
        <row r="2855">
          <cell r="A2855" t="str">
            <v/>
          </cell>
        </row>
        <row r="2856">
          <cell r="A2856" t="str">
            <v/>
          </cell>
        </row>
        <row r="2857">
          <cell r="A2857" t="str">
            <v/>
          </cell>
        </row>
        <row r="2858">
          <cell r="A2858" t="str">
            <v/>
          </cell>
        </row>
        <row r="2859">
          <cell r="A2859" t="str">
            <v/>
          </cell>
        </row>
        <row r="2860">
          <cell r="A2860" t="str">
            <v/>
          </cell>
        </row>
        <row r="2861">
          <cell r="A2861" t="str">
            <v/>
          </cell>
        </row>
        <row r="2862">
          <cell r="A2862" t="str">
            <v/>
          </cell>
        </row>
        <row r="2863">
          <cell r="A2863" t="str">
            <v/>
          </cell>
        </row>
        <row r="2864">
          <cell r="A2864" t="str">
            <v/>
          </cell>
        </row>
        <row r="2865">
          <cell r="A2865" t="str">
            <v/>
          </cell>
        </row>
        <row r="2866">
          <cell r="A2866" t="str">
            <v/>
          </cell>
        </row>
        <row r="2867">
          <cell r="A2867" t="str">
            <v/>
          </cell>
        </row>
        <row r="2868">
          <cell r="A2868" t="str">
            <v/>
          </cell>
        </row>
        <row r="2869">
          <cell r="A2869" t="str">
            <v/>
          </cell>
        </row>
        <row r="2870">
          <cell r="A2870" t="str">
            <v/>
          </cell>
        </row>
        <row r="2871">
          <cell r="A2871" t="str">
            <v/>
          </cell>
        </row>
        <row r="2872">
          <cell r="A2872" t="str">
            <v/>
          </cell>
        </row>
        <row r="2873">
          <cell r="A2873" t="str">
            <v/>
          </cell>
        </row>
        <row r="2874">
          <cell r="A2874" t="str">
            <v/>
          </cell>
        </row>
        <row r="2875">
          <cell r="A2875" t="str">
            <v/>
          </cell>
        </row>
        <row r="2876">
          <cell r="A2876" t="str">
            <v/>
          </cell>
        </row>
        <row r="2877">
          <cell r="A2877" t="str">
            <v/>
          </cell>
        </row>
        <row r="2878">
          <cell r="A2878" t="str">
            <v/>
          </cell>
        </row>
        <row r="2879">
          <cell r="A2879" t="str">
            <v/>
          </cell>
        </row>
        <row r="2880">
          <cell r="A2880" t="str">
            <v/>
          </cell>
        </row>
        <row r="2881">
          <cell r="A2881" t="str">
            <v/>
          </cell>
        </row>
        <row r="2882">
          <cell r="A2882" t="str">
            <v/>
          </cell>
        </row>
        <row r="2883">
          <cell r="A2883" t="str">
            <v/>
          </cell>
        </row>
        <row r="2884">
          <cell r="A2884" t="str">
            <v/>
          </cell>
        </row>
        <row r="2885">
          <cell r="A2885" t="str">
            <v/>
          </cell>
        </row>
        <row r="2886">
          <cell r="A2886" t="str">
            <v/>
          </cell>
        </row>
        <row r="2887">
          <cell r="A2887" t="str">
            <v/>
          </cell>
        </row>
        <row r="2888">
          <cell r="A2888" t="str">
            <v/>
          </cell>
        </row>
        <row r="2889">
          <cell r="A2889" t="str">
            <v/>
          </cell>
        </row>
        <row r="2890">
          <cell r="A2890" t="str">
            <v/>
          </cell>
        </row>
        <row r="2891">
          <cell r="A2891" t="str">
            <v/>
          </cell>
        </row>
        <row r="2892">
          <cell r="A2892" t="str">
            <v/>
          </cell>
        </row>
        <row r="2893">
          <cell r="A2893" t="str">
            <v/>
          </cell>
        </row>
        <row r="2894">
          <cell r="A2894" t="str">
            <v/>
          </cell>
        </row>
        <row r="2895">
          <cell r="A2895" t="str">
            <v/>
          </cell>
        </row>
        <row r="2896">
          <cell r="A2896" t="str">
            <v/>
          </cell>
        </row>
        <row r="2897">
          <cell r="A2897" t="str">
            <v/>
          </cell>
        </row>
        <row r="2898">
          <cell r="A2898" t="str">
            <v/>
          </cell>
        </row>
        <row r="2899">
          <cell r="A2899" t="str">
            <v/>
          </cell>
        </row>
        <row r="2900">
          <cell r="A2900" t="str">
            <v/>
          </cell>
        </row>
        <row r="2901">
          <cell r="A2901" t="str">
            <v/>
          </cell>
        </row>
        <row r="2902">
          <cell r="A2902" t="str">
            <v/>
          </cell>
        </row>
        <row r="2903">
          <cell r="A2903" t="str">
            <v/>
          </cell>
        </row>
        <row r="2904">
          <cell r="A2904" t="str">
            <v/>
          </cell>
        </row>
        <row r="2905">
          <cell r="A2905" t="str">
            <v/>
          </cell>
        </row>
        <row r="2906">
          <cell r="A2906" t="str">
            <v/>
          </cell>
        </row>
        <row r="2907">
          <cell r="A2907" t="str">
            <v/>
          </cell>
        </row>
        <row r="2908">
          <cell r="A2908" t="str">
            <v/>
          </cell>
        </row>
        <row r="2909">
          <cell r="A2909" t="str">
            <v/>
          </cell>
        </row>
        <row r="2910">
          <cell r="A2910" t="str">
            <v/>
          </cell>
        </row>
        <row r="2911">
          <cell r="A2911" t="str">
            <v/>
          </cell>
        </row>
        <row r="2912">
          <cell r="A2912" t="str">
            <v/>
          </cell>
        </row>
        <row r="2913">
          <cell r="A2913" t="str">
            <v/>
          </cell>
        </row>
        <row r="2914">
          <cell r="A2914" t="str">
            <v/>
          </cell>
        </row>
        <row r="2915">
          <cell r="A2915" t="str">
            <v/>
          </cell>
        </row>
        <row r="2916">
          <cell r="A2916" t="str">
            <v/>
          </cell>
        </row>
        <row r="2917">
          <cell r="A2917" t="str">
            <v/>
          </cell>
        </row>
        <row r="2918">
          <cell r="A2918" t="str">
            <v/>
          </cell>
        </row>
        <row r="2919">
          <cell r="A2919" t="str">
            <v/>
          </cell>
        </row>
        <row r="2920">
          <cell r="A2920" t="str">
            <v/>
          </cell>
        </row>
        <row r="2921">
          <cell r="A2921" t="str">
            <v/>
          </cell>
        </row>
        <row r="2922">
          <cell r="A2922" t="str">
            <v/>
          </cell>
        </row>
        <row r="2923">
          <cell r="A2923" t="str">
            <v/>
          </cell>
        </row>
        <row r="2924">
          <cell r="A2924" t="str">
            <v/>
          </cell>
        </row>
        <row r="2925">
          <cell r="A2925" t="str">
            <v/>
          </cell>
        </row>
        <row r="2926">
          <cell r="A2926" t="str">
            <v/>
          </cell>
        </row>
        <row r="2927">
          <cell r="A2927" t="str">
            <v/>
          </cell>
        </row>
        <row r="2928">
          <cell r="A2928" t="str">
            <v/>
          </cell>
        </row>
        <row r="2929">
          <cell r="A2929" t="str">
            <v/>
          </cell>
        </row>
        <row r="2930">
          <cell r="A2930" t="str">
            <v/>
          </cell>
        </row>
        <row r="2931">
          <cell r="A2931" t="str">
            <v/>
          </cell>
        </row>
        <row r="2932">
          <cell r="A2932" t="str">
            <v/>
          </cell>
        </row>
        <row r="2933">
          <cell r="A2933" t="str">
            <v/>
          </cell>
        </row>
        <row r="2934">
          <cell r="A2934" t="str">
            <v/>
          </cell>
        </row>
        <row r="2935">
          <cell r="A2935" t="str">
            <v/>
          </cell>
        </row>
        <row r="2936">
          <cell r="A2936" t="str">
            <v/>
          </cell>
        </row>
        <row r="2937">
          <cell r="A2937" t="str">
            <v/>
          </cell>
        </row>
        <row r="2938">
          <cell r="A2938" t="str">
            <v/>
          </cell>
        </row>
        <row r="2939">
          <cell r="A2939" t="str">
            <v/>
          </cell>
        </row>
        <row r="2940">
          <cell r="A2940" t="str">
            <v/>
          </cell>
        </row>
        <row r="2941">
          <cell r="A2941" t="str">
            <v/>
          </cell>
        </row>
        <row r="2942">
          <cell r="A2942" t="str">
            <v/>
          </cell>
        </row>
        <row r="2943">
          <cell r="A2943" t="str">
            <v/>
          </cell>
        </row>
        <row r="2944">
          <cell r="A2944" t="str">
            <v/>
          </cell>
        </row>
        <row r="2945">
          <cell r="A2945" t="str">
            <v/>
          </cell>
        </row>
        <row r="2946">
          <cell r="A2946" t="str">
            <v/>
          </cell>
        </row>
        <row r="2947">
          <cell r="A2947" t="str">
            <v/>
          </cell>
        </row>
        <row r="2948">
          <cell r="A2948" t="str">
            <v/>
          </cell>
        </row>
        <row r="2949">
          <cell r="A2949" t="str">
            <v/>
          </cell>
        </row>
        <row r="2950">
          <cell r="A2950" t="str">
            <v/>
          </cell>
        </row>
        <row r="2951">
          <cell r="A2951" t="str">
            <v/>
          </cell>
        </row>
        <row r="2952">
          <cell r="A2952" t="str">
            <v/>
          </cell>
        </row>
        <row r="2953">
          <cell r="A2953" t="str">
            <v/>
          </cell>
        </row>
        <row r="2954">
          <cell r="A2954" t="str">
            <v/>
          </cell>
        </row>
        <row r="2955">
          <cell r="A2955" t="str">
            <v/>
          </cell>
        </row>
        <row r="2956">
          <cell r="A2956" t="str">
            <v/>
          </cell>
        </row>
        <row r="2957">
          <cell r="A2957" t="str">
            <v/>
          </cell>
        </row>
        <row r="2958">
          <cell r="A2958" t="str">
            <v/>
          </cell>
        </row>
        <row r="2959">
          <cell r="A2959" t="str">
            <v/>
          </cell>
        </row>
        <row r="2960">
          <cell r="A2960" t="str">
            <v/>
          </cell>
        </row>
        <row r="2961">
          <cell r="A2961" t="str">
            <v/>
          </cell>
        </row>
        <row r="2962">
          <cell r="A2962" t="str">
            <v/>
          </cell>
        </row>
        <row r="2963">
          <cell r="A2963" t="str">
            <v/>
          </cell>
        </row>
        <row r="2964">
          <cell r="A2964" t="str">
            <v/>
          </cell>
        </row>
        <row r="2965">
          <cell r="A2965" t="str">
            <v/>
          </cell>
        </row>
        <row r="2966">
          <cell r="A2966" t="str">
            <v/>
          </cell>
        </row>
        <row r="2967">
          <cell r="A2967" t="str">
            <v/>
          </cell>
        </row>
        <row r="2968">
          <cell r="A2968" t="str">
            <v/>
          </cell>
        </row>
        <row r="2969">
          <cell r="A2969" t="str">
            <v/>
          </cell>
        </row>
        <row r="2970">
          <cell r="A2970" t="str">
            <v/>
          </cell>
        </row>
        <row r="2971">
          <cell r="A2971" t="str">
            <v/>
          </cell>
        </row>
        <row r="2972">
          <cell r="A2972" t="str">
            <v/>
          </cell>
        </row>
        <row r="2973">
          <cell r="A2973" t="str">
            <v/>
          </cell>
        </row>
        <row r="2974">
          <cell r="A2974" t="str">
            <v/>
          </cell>
        </row>
        <row r="2975">
          <cell r="A2975" t="str">
            <v/>
          </cell>
        </row>
        <row r="2976">
          <cell r="A2976" t="str">
            <v/>
          </cell>
        </row>
        <row r="2977">
          <cell r="A2977" t="str">
            <v/>
          </cell>
        </row>
        <row r="2978">
          <cell r="A2978" t="str">
            <v/>
          </cell>
        </row>
        <row r="2979">
          <cell r="A2979" t="str">
            <v/>
          </cell>
        </row>
        <row r="2980">
          <cell r="A2980" t="str">
            <v/>
          </cell>
        </row>
        <row r="2981">
          <cell r="A2981" t="str">
            <v/>
          </cell>
        </row>
        <row r="2982">
          <cell r="A2982" t="str">
            <v/>
          </cell>
        </row>
        <row r="2983">
          <cell r="A2983" t="str">
            <v/>
          </cell>
        </row>
        <row r="2984">
          <cell r="A2984" t="str">
            <v/>
          </cell>
        </row>
        <row r="2985">
          <cell r="A2985" t="str">
            <v/>
          </cell>
        </row>
        <row r="2986">
          <cell r="A2986" t="str">
            <v/>
          </cell>
        </row>
        <row r="2987">
          <cell r="A2987" t="str">
            <v/>
          </cell>
        </row>
        <row r="2988">
          <cell r="A2988" t="str">
            <v/>
          </cell>
        </row>
        <row r="2989">
          <cell r="A2989" t="str">
            <v/>
          </cell>
        </row>
        <row r="2990">
          <cell r="A2990" t="str">
            <v/>
          </cell>
        </row>
        <row r="2991">
          <cell r="A2991" t="str">
            <v/>
          </cell>
        </row>
        <row r="2992">
          <cell r="A2992" t="str">
            <v/>
          </cell>
        </row>
        <row r="2993">
          <cell r="A2993" t="str">
            <v/>
          </cell>
        </row>
        <row r="2994">
          <cell r="A2994" t="str">
            <v/>
          </cell>
        </row>
        <row r="2995">
          <cell r="A2995" t="str">
            <v/>
          </cell>
        </row>
        <row r="2996">
          <cell r="A2996" t="str">
            <v/>
          </cell>
        </row>
        <row r="2997">
          <cell r="A2997" t="str">
            <v/>
          </cell>
        </row>
        <row r="2998">
          <cell r="A2998" t="str">
            <v/>
          </cell>
        </row>
        <row r="2999">
          <cell r="A2999" t="str">
            <v/>
          </cell>
        </row>
        <row r="3000">
          <cell r="A3000" t="str">
            <v/>
          </cell>
        </row>
        <row r="3001">
          <cell r="A3001" t="str">
            <v/>
          </cell>
        </row>
        <row r="3002">
          <cell r="A3002" t="str">
            <v/>
          </cell>
        </row>
        <row r="3003">
          <cell r="A3003" t="str">
            <v/>
          </cell>
        </row>
        <row r="3004">
          <cell r="A3004" t="str">
            <v/>
          </cell>
        </row>
        <row r="3005">
          <cell r="A3005" t="str">
            <v/>
          </cell>
        </row>
        <row r="3006">
          <cell r="A3006" t="str">
            <v/>
          </cell>
        </row>
        <row r="3007">
          <cell r="A3007" t="str">
            <v/>
          </cell>
        </row>
        <row r="3008">
          <cell r="A3008" t="str">
            <v/>
          </cell>
        </row>
        <row r="3009">
          <cell r="A3009" t="str">
            <v/>
          </cell>
        </row>
        <row r="3010">
          <cell r="A3010" t="str">
            <v/>
          </cell>
        </row>
        <row r="3011">
          <cell r="A3011" t="str">
            <v/>
          </cell>
        </row>
        <row r="3012">
          <cell r="A3012" t="str">
            <v/>
          </cell>
        </row>
        <row r="3013">
          <cell r="A3013" t="str">
            <v/>
          </cell>
        </row>
        <row r="3014">
          <cell r="A3014" t="str">
            <v/>
          </cell>
        </row>
        <row r="3015">
          <cell r="A3015" t="str">
            <v/>
          </cell>
        </row>
        <row r="3016">
          <cell r="A3016" t="str">
            <v/>
          </cell>
        </row>
        <row r="3017">
          <cell r="A3017" t="str">
            <v/>
          </cell>
        </row>
        <row r="3018">
          <cell r="A3018" t="str">
            <v/>
          </cell>
        </row>
        <row r="3019">
          <cell r="A3019" t="str">
            <v/>
          </cell>
        </row>
        <row r="3020">
          <cell r="A3020" t="str">
            <v/>
          </cell>
        </row>
        <row r="3021">
          <cell r="A3021" t="str">
            <v/>
          </cell>
        </row>
        <row r="3022">
          <cell r="A3022" t="str">
            <v/>
          </cell>
        </row>
        <row r="3023">
          <cell r="A3023" t="str">
            <v/>
          </cell>
        </row>
        <row r="3024">
          <cell r="A3024" t="str">
            <v/>
          </cell>
        </row>
        <row r="3025">
          <cell r="A3025" t="str">
            <v/>
          </cell>
        </row>
        <row r="3026">
          <cell r="A3026" t="str">
            <v/>
          </cell>
        </row>
        <row r="3027">
          <cell r="A3027" t="str">
            <v/>
          </cell>
        </row>
        <row r="3028">
          <cell r="A3028" t="str">
            <v/>
          </cell>
        </row>
        <row r="3029">
          <cell r="A3029" t="str">
            <v/>
          </cell>
        </row>
        <row r="3030">
          <cell r="A3030" t="str">
            <v/>
          </cell>
        </row>
        <row r="3031">
          <cell r="A3031" t="str">
            <v/>
          </cell>
        </row>
        <row r="3032">
          <cell r="A3032" t="str">
            <v/>
          </cell>
        </row>
        <row r="3033">
          <cell r="A3033" t="str">
            <v/>
          </cell>
        </row>
        <row r="3034">
          <cell r="A3034" t="str">
            <v/>
          </cell>
        </row>
        <row r="3035">
          <cell r="A3035" t="str">
            <v/>
          </cell>
        </row>
        <row r="3036">
          <cell r="A3036" t="str">
            <v/>
          </cell>
        </row>
        <row r="3037">
          <cell r="A3037" t="str">
            <v/>
          </cell>
        </row>
        <row r="3038">
          <cell r="A3038" t="str">
            <v/>
          </cell>
        </row>
        <row r="3039">
          <cell r="A3039" t="str">
            <v/>
          </cell>
        </row>
        <row r="3040">
          <cell r="A3040" t="str">
            <v/>
          </cell>
        </row>
        <row r="3041">
          <cell r="A3041" t="str">
            <v/>
          </cell>
        </row>
        <row r="3042">
          <cell r="A3042" t="str">
            <v/>
          </cell>
        </row>
        <row r="3043">
          <cell r="A3043" t="str">
            <v/>
          </cell>
        </row>
        <row r="3044">
          <cell r="A3044" t="str">
            <v/>
          </cell>
        </row>
        <row r="3045">
          <cell r="A3045" t="str">
            <v/>
          </cell>
        </row>
        <row r="3046">
          <cell r="A3046" t="str">
            <v/>
          </cell>
        </row>
        <row r="3047">
          <cell r="A3047" t="str">
            <v/>
          </cell>
        </row>
        <row r="3048">
          <cell r="A3048" t="str">
            <v/>
          </cell>
        </row>
        <row r="3049">
          <cell r="A3049" t="str">
            <v/>
          </cell>
        </row>
        <row r="3050">
          <cell r="A3050" t="str">
            <v/>
          </cell>
        </row>
        <row r="3051">
          <cell r="A3051" t="str">
            <v/>
          </cell>
        </row>
        <row r="3052">
          <cell r="A3052" t="str">
            <v/>
          </cell>
        </row>
        <row r="3053">
          <cell r="A3053" t="str">
            <v/>
          </cell>
        </row>
        <row r="3054">
          <cell r="A3054" t="str">
            <v/>
          </cell>
        </row>
        <row r="3055">
          <cell r="A3055" t="str">
            <v/>
          </cell>
        </row>
        <row r="3056">
          <cell r="A3056" t="str">
            <v/>
          </cell>
        </row>
        <row r="3057">
          <cell r="A3057" t="str">
            <v/>
          </cell>
        </row>
        <row r="3058">
          <cell r="A3058" t="str">
            <v/>
          </cell>
        </row>
        <row r="3059">
          <cell r="A3059" t="str">
            <v/>
          </cell>
        </row>
        <row r="3060">
          <cell r="A3060" t="str">
            <v/>
          </cell>
        </row>
        <row r="3061">
          <cell r="A3061" t="str">
            <v/>
          </cell>
        </row>
        <row r="3062">
          <cell r="A3062" t="str">
            <v/>
          </cell>
        </row>
        <row r="3063">
          <cell r="A3063" t="str">
            <v/>
          </cell>
        </row>
        <row r="3064">
          <cell r="A3064" t="str">
            <v/>
          </cell>
        </row>
        <row r="3065">
          <cell r="A3065" t="str">
            <v/>
          </cell>
        </row>
        <row r="3066">
          <cell r="A3066" t="str">
            <v/>
          </cell>
        </row>
        <row r="3067">
          <cell r="A3067" t="str">
            <v/>
          </cell>
        </row>
        <row r="3068">
          <cell r="A3068" t="str">
            <v/>
          </cell>
        </row>
        <row r="3069">
          <cell r="A3069" t="str">
            <v/>
          </cell>
        </row>
        <row r="3070">
          <cell r="A3070" t="str">
            <v/>
          </cell>
        </row>
        <row r="3071">
          <cell r="A3071" t="str">
            <v/>
          </cell>
        </row>
        <row r="3072">
          <cell r="A3072" t="str">
            <v/>
          </cell>
        </row>
        <row r="3073">
          <cell r="A3073" t="str">
            <v/>
          </cell>
        </row>
        <row r="3074">
          <cell r="A3074" t="str">
            <v/>
          </cell>
        </row>
        <row r="3075">
          <cell r="A3075" t="str">
            <v/>
          </cell>
        </row>
        <row r="3076">
          <cell r="A3076" t="str">
            <v/>
          </cell>
        </row>
        <row r="3077">
          <cell r="A3077" t="str">
            <v/>
          </cell>
        </row>
        <row r="3078">
          <cell r="A3078" t="str">
            <v/>
          </cell>
        </row>
        <row r="3079">
          <cell r="A3079" t="str">
            <v/>
          </cell>
        </row>
        <row r="3080">
          <cell r="A3080" t="str">
            <v/>
          </cell>
        </row>
        <row r="3081">
          <cell r="A3081" t="str">
            <v/>
          </cell>
        </row>
        <row r="3082">
          <cell r="A3082" t="str">
            <v/>
          </cell>
        </row>
        <row r="3083">
          <cell r="A3083" t="str">
            <v/>
          </cell>
        </row>
        <row r="3084">
          <cell r="A3084" t="str">
            <v/>
          </cell>
        </row>
        <row r="3085">
          <cell r="A3085" t="str">
            <v/>
          </cell>
        </row>
        <row r="3086">
          <cell r="A3086" t="str">
            <v/>
          </cell>
        </row>
        <row r="3087">
          <cell r="A3087" t="str">
            <v/>
          </cell>
        </row>
        <row r="3088">
          <cell r="A3088" t="str">
            <v/>
          </cell>
        </row>
        <row r="3089">
          <cell r="A3089" t="str">
            <v/>
          </cell>
        </row>
        <row r="3090">
          <cell r="A3090" t="str">
            <v/>
          </cell>
        </row>
        <row r="3091">
          <cell r="A3091" t="str">
            <v/>
          </cell>
        </row>
        <row r="3092">
          <cell r="A3092" t="str">
            <v/>
          </cell>
        </row>
        <row r="3093">
          <cell r="A3093" t="str">
            <v/>
          </cell>
        </row>
        <row r="3094">
          <cell r="A3094" t="str">
            <v/>
          </cell>
        </row>
        <row r="3095">
          <cell r="A3095" t="str">
            <v/>
          </cell>
        </row>
        <row r="3096">
          <cell r="A3096" t="str">
            <v/>
          </cell>
        </row>
        <row r="3097">
          <cell r="A3097" t="str">
            <v/>
          </cell>
        </row>
        <row r="3098">
          <cell r="A3098" t="str">
            <v/>
          </cell>
        </row>
        <row r="3099">
          <cell r="A3099" t="str">
            <v/>
          </cell>
        </row>
        <row r="3100">
          <cell r="A3100" t="str">
            <v/>
          </cell>
        </row>
        <row r="3101">
          <cell r="A3101" t="str">
            <v/>
          </cell>
        </row>
        <row r="3102">
          <cell r="A3102" t="str">
            <v/>
          </cell>
        </row>
        <row r="3103">
          <cell r="A3103" t="str">
            <v/>
          </cell>
        </row>
        <row r="3104">
          <cell r="A3104" t="str">
            <v/>
          </cell>
        </row>
        <row r="3105">
          <cell r="A3105" t="str">
            <v/>
          </cell>
        </row>
        <row r="3106">
          <cell r="A3106" t="str">
            <v/>
          </cell>
        </row>
        <row r="3107">
          <cell r="A3107" t="str">
            <v/>
          </cell>
        </row>
        <row r="3108">
          <cell r="A3108" t="str">
            <v/>
          </cell>
        </row>
        <row r="3109">
          <cell r="A3109" t="str">
            <v/>
          </cell>
        </row>
        <row r="3110">
          <cell r="A3110" t="str">
            <v/>
          </cell>
        </row>
        <row r="3111">
          <cell r="A3111" t="str">
            <v/>
          </cell>
        </row>
        <row r="3112">
          <cell r="A3112" t="str">
            <v/>
          </cell>
        </row>
        <row r="3113">
          <cell r="A3113" t="str">
            <v/>
          </cell>
        </row>
        <row r="3114">
          <cell r="A3114" t="str">
            <v/>
          </cell>
        </row>
        <row r="3115">
          <cell r="A3115" t="str">
            <v/>
          </cell>
        </row>
        <row r="3116">
          <cell r="A3116" t="str">
            <v/>
          </cell>
        </row>
        <row r="3117">
          <cell r="A3117" t="str">
            <v/>
          </cell>
        </row>
        <row r="3118">
          <cell r="A3118" t="str">
            <v/>
          </cell>
        </row>
        <row r="3119">
          <cell r="A3119" t="str">
            <v/>
          </cell>
        </row>
        <row r="3120">
          <cell r="A3120" t="str">
            <v/>
          </cell>
        </row>
        <row r="3121">
          <cell r="A3121" t="str">
            <v/>
          </cell>
        </row>
        <row r="3122">
          <cell r="A3122" t="str">
            <v/>
          </cell>
        </row>
        <row r="3123">
          <cell r="A3123" t="str">
            <v/>
          </cell>
        </row>
        <row r="3124">
          <cell r="A3124" t="str">
            <v/>
          </cell>
        </row>
        <row r="3125">
          <cell r="A3125" t="str">
            <v/>
          </cell>
        </row>
        <row r="3126">
          <cell r="A3126" t="str">
            <v/>
          </cell>
        </row>
        <row r="3127">
          <cell r="A3127" t="str">
            <v/>
          </cell>
        </row>
        <row r="3128">
          <cell r="A3128" t="str">
            <v/>
          </cell>
        </row>
        <row r="3129">
          <cell r="A3129" t="str">
            <v/>
          </cell>
        </row>
        <row r="3130">
          <cell r="A3130" t="str">
            <v/>
          </cell>
        </row>
        <row r="3131">
          <cell r="A3131" t="str">
            <v/>
          </cell>
        </row>
        <row r="3132">
          <cell r="A3132" t="str">
            <v/>
          </cell>
        </row>
        <row r="3133">
          <cell r="A3133" t="str">
            <v/>
          </cell>
        </row>
        <row r="3134">
          <cell r="A3134" t="str">
            <v/>
          </cell>
        </row>
        <row r="3135">
          <cell r="A3135" t="str">
            <v/>
          </cell>
        </row>
        <row r="3136">
          <cell r="A3136" t="str">
            <v/>
          </cell>
        </row>
        <row r="3137">
          <cell r="A3137" t="str">
            <v/>
          </cell>
        </row>
        <row r="3138">
          <cell r="A3138" t="str">
            <v/>
          </cell>
        </row>
        <row r="3139">
          <cell r="A3139" t="str">
            <v/>
          </cell>
        </row>
        <row r="3140">
          <cell r="A3140" t="str">
            <v/>
          </cell>
        </row>
        <row r="3141">
          <cell r="A3141" t="str">
            <v/>
          </cell>
        </row>
        <row r="3142">
          <cell r="A3142" t="str">
            <v/>
          </cell>
        </row>
        <row r="3143">
          <cell r="A3143" t="str">
            <v/>
          </cell>
        </row>
        <row r="3144">
          <cell r="A3144" t="str">
            <v/>
          </cell>
        </row>
        <row r="3145">
          <cell r="A3145" t="str">
            <v/>
          </cell>
        </row>
        <row r="3146">
          <cell r="A3146" t="str">
            <v/>
          </cell>
        </row>
        <row r="3147">
          <cell r="A3147" t="str">
            <v/>
          </cell>
        </row>
        <row r="3148">
          <cell r="A3148" t="str">
            <v/>
          </cell>
        </row>
        <row r="3149">
          <cell r="A3149" t="str">
            <v/>
          </cell>
        </row>
        <row r="3150">
          <cell r="A3150" t="str">
            <v/>
          </cell>
        </row>
        <row r="3151">
          <cell r="A3151" t="str">
            <v/>
          </cell>
        </row>
        <row r="3152">
          <cell r="A3152" t="str">
            <v/>
          </cell>
        </row>
        <row r="3153">
          <cell r="A3153" t="str">
            <v/>
          </cell>
        </row>
        <row r="3154">
          <cell r="A3154" t="str">
            <v/>
          </cell>
        </row>
        <row r="3155">
          <cell r="A3155" t="str">
            <v/>
          </cell>
        </row>
        <row r="3156">
          <cell r="A3156" t="str">
            <v/>
          </cell>
        </row>
        <row r="3157">
          <cell r="A3157" t="str">
            <v/>
          </cell>
        </row>
        <row r="3158">
          <cell r="A3158" t="str">
            <v/>
          </cell>
        </row>
        <row r="3159">
          <cell r="A3159" t="str">
            <v/>
          </cell>
        </row>
        <row r="3160">
          <cell r="A3160" t="str">
            <v/>
          </cell>
        </row>
        <row r="3161">
          <cell r="A3161" t="str">
            <v/>
          </cell>
        </row>
        <row r="3162">
          <cell r="A3162" t="str">
            <v/>
          </cell>
        </row>
        <row r="3163">
          <cell r="A3163" t="str">
            <v/>
          </cell>
        </row>
        <row r="3164">
          <cell r="A3164" t="str">
            <v/>
          </cell>
        </row>
        <row r="3165">
          <cell r="A3165" t="str">
            <v/>
          </cell>
        </row>
        <row r="3166">
          <cell r="A3166" t="str">
            <v/>
          </cell>
        </row>
        <row r="3167">
          <cell r="A3167" t="str">
            <v/>
          </cell>
        </row>
        <row r="3168">
          <cell r="A3168" t="str">
            <v/>
          </cell>
        </row>
        <row r="3169">
          <cell r="A3169" t="str">
            <v/>
          </cell>
        </row>
        <row r="3170">
          <cell r="A3170" t="str">
            <v/>
          </cell>
        </row>
        <row r="3171">
          <cell r="A3171" t="str">
            <v/>
          </cell>
        </row>
        <row r="3172">
          <cell r="A3172" t="str">
            <v/>
          </cell>
        </row>
        <row r="3173">
          <cell r="A3173" t="str">
            <v/>
          </cell>
        </row>
        <row r="3174">
          <cell r="A3174" t="str">
            <v/>
          </cell>
        </row>
        <row r="3175">
          <cell r="A3175" t="str">
            <v/>
          </cell>
        </row>
        <row r="3176">
          <cell r="A3176" t="str">
            <v/>
          </cell>
        </row>
        <row r="3177">
          <cell r="A3177" t="str">
            <v/>
          </cell>
        </row>
        <row r="3178">
          <cell r="A3178" t="str">
            <v/>
          </cell>
        </row>
        <row r="3179">
          <cell r="A3179" t="str">
            <v/>
          </cell>
        </row>
        <row r="3180">
          <cell r="A3180" t="str">
            <v/>
          </cell>
        </row>
        <row r="3181">
          <cell r="A3181" t="str">
            <v/>
          </cell>
        </row>
        <row r="3182">
          <cell r="A3182" t="str">
            <v/>
          </cell>
        </row>
        <row r="3183">
          <cell r="A3183" t="str">
            <v/>
          </cell>
        </row>
        <row r="3184">
          <cell r="A3184" t="str">
            <v/>
          </cell>
        </row>
        <row r="3185">
          <cell r="A3185" t="str">
            <v/>
          </cell>
        </row>
        <row r="3186">
          <cell r="A3186" t="str">
            <v/>
          </cell>
        </row>
        <row r="3187">
          <cell r="A3187" t="str">
            <v/>
          </cell>
        </row>
        <row r="3188">
          <cell r="A3188" t="str">
            <v/>
          </cell>
        </row>
        <row r="3189">
          <cell r="A3189" t="str">
            <v/>
          </cell>
        </row>
        <row r="3190">
          <cell r="A3190" t="str">
            <v/>
          </cell>
        </row>
        <row r="3191">
          <cell r="A3191" t="str">
            <v/>
          </cell>
        </row>
        <row r="3192">
          <cell r="A3192" t="str">
            <v/>
          </cell>
        </row>
        <row r="3193">
          <cell r="A3193" t="str">
            <v/>
          </cell>
        </row>
        <row r="3194">
          <cell r="A3194" t="str">
            <v/>
          </cell>
        </row>
        <row r="3195">
          <cell r="A3195" t="str">
            <v/>
          </cell>
        </row>
        <row r="3196">
          <cell r="A3196" t="str">
            <v/>
          </cell>
        </row>
        <row r="3197">
          <cell r="A3197" t="str">
            <v/>
          </cell>
        </row>
        <row r="3198">
          <cell r="A3198" t="str">
            <v/>
          </cell>
        </row>
        <row r="3199">
          <cell r="A3199" t="str">
            <v/>
          </cell>
        </row>
        <row r="3200">
          <cell r="A3200" t="str">
            <v/>
          </cell>
        </row>
        <row r="3201">
          <cell r="A3201" t="str">
            <v/>
          </cell>
        </row>
        <row r="3202">
          <cell r="A3202" t="str">
            <v/>
          </cell>
        </row>
        <row r="3203">
          <cell r="A3203" t="str">
            <v/>
          </cell>
        </row>
        <row r="3204">
          <cell r="A3204" t="str">
            <v/>
          </cell>
        </row>
        <row r="3205">
          <cell r="A3205" t="str">
            <v/>
          </cell>
        </row>
        <row r="3206">
          <cell r="A3206" t="str">
            <v/>
          </cell>
        </row>
        <row r="3207">
          <cell r="A3207" t="str">
            <v/>
          </cell>
        </row>
        <row r="3208">
          <cell r="A3208" t="str">
            <v/>
          </cell>
        </row>
        <row r="3209">
          <cell r="A3209" t="str">
            <v/>
          </cell>
        </row>
        <row r="3210">
          <cell r="A3210" t="str">
            <v/>
          </cell>
        </row>
        <row r="3211">
          <cell r="A3211" t="str">
            <v/>
          </cell>
        </row>
        <row r="3212">
          <cell r="A3212" t="str">
            <v/>
          </cell>
        </row>
        <row r="3213">
          <cell r="A3213" t="str">
            <v/>
          </cell>
        </row>
        <row r="3214">
          <cell r="A3214" t="str">
            <v/>
          </cell>
        </row>
        <row r="3215">
          <cell r="A3215" t="str">
            <v/>
          </cell>
        </row>
        <row r="3216">
          <cell r="A3216" t="str">
            <v/>
          </cell>
        </row>
        <row r="3217">
          <cell r="A3217" t="str">
            <v/>
          </cell>
        </row>
        <row r="3218">
          <cell r="A3218" t="str">
            <v/>
          </cell>
        </row>
        <row r="3219">
          <cell r="A3219" t="str">
            <v/>
          </cell>
        </row>
        <row r="3220">
          <cell r="A3220" t="str">
            <v/>
          </cell>
        </row>
        <row r="3221">
          <cell r="A3221" t="str">
            <v/>
          </cell>
        </row>
        <row r="3222">
          <cell r="A3222" t="str">
            <v/>
          </cell>
        </row>
        <row r="3223">
          <cell r="A3223" t="str">
            <v/>
          </cell>
        </row>
        <row r="3224">
          <cell r="A3224" t="str">
            <v/>
          </cell>
        </row>
        <row r="3225">
          <cell r="A3225" t="str">
            <v/>
          </cell>
        </row>
        <row r="3226">
          <cell r="A3226" t="str">
            <v/>
          </cell>
        </row>
        <row r="3227">
          <cell r="A3227" t="str">
            <v/>
          </cell>
        </row>
        <row r="3228">
          <cell r="A3228" t="str">
            <v/>
          </cell>
        </row>
        <row r="3229">
          <cell r="A3229" t="str">
            <v/>
          </cell>
        </row>
        <row r="3230">
          <cell r="A3230" t="str">
            <v/>
          </cell>
        </row>
        <row r="3231">
          <cell r="A3231" t="str">
            <v/>
          </cell>
        </row>
        <row r="3232">
          <cell r="A3232" t="str">
            <v/>
          </cell>
        </row>
        <row r="3233">
          <cell r="A3233" t="str">
            <v/>
          </cell>
        </row>
        <row r="3234">
          <cell r="A3234" t="str">
            <v/>
          </cell>
        </row>
        <row r="3235">
          <cell r="A3235" t="str">
            <v/>
          </cell>
        </row>
        <row r="3236">
          <cell r="A3236" t="str">
            <v/>
          </cell>
        </row>
        <row r="3237">
          <cell r="A3237" t="str">
            <v/>
          </cell>
        </row>
        <row r="3238">
          <cell r="A3238" t="str">
            <v/>
          </cell>
        </row>
        <row r="3239">
          <cell r="A3239" t="str">
            <v/>
          </cell>
        </row>
        <row r="3240">
          <cell r="A3240" t="str">
            <v/>
          </cell>
        </row>
        <row r="3241">
          <cell r="A3241" t="str">
            <v/>
          </cell>
        </row>
        <row r="3242">
          <cell r="A3242" t="str">
            <v/>
          </cell>
        </row>
        <row r="3243">
          <cell r="A3243" t="str">
            <v/>
          </cell>
        </row>
        <row r="3244">
          <cell r="A3244" t="str">
            <v/>
          </cell>
        </row>
        <row r="3245">
          <cell r="A3245" t="str">
            <v/>
          </cell>
        </row>
        <row r="3246">
          <cell r="A3246" t="str">
            <v/>
          </cell>
        </row>
        <row r="3247">
          <cell r="A3247" t="str">
            <v/>
          </cell>
        </row>
        <row r="3248">
          <cell r="A3248" t="str">
            <v/>
          </cell>
        </row>
        <row r="3249">
          <cell r="A3249" t="str">
            <v/>
          </cell>
        </row>
        <row r="3250">
          <cell r="A3250" t="str">
            <v/>
          </cell>
        </row>
        <row r="3251">
          <cell r="A3251" t="str">
            <v/>
          </cell>
        </row>
        <row r="3252">
          <cell r="A3252" t="str">
            <v/>
          </cell>
        </row>
        <row r="3253">
          <cell r="A3253" t="str">
            <v/>
          </cell>
        </row>
        <row r="3254">
          <cell r="A3254" t="str">
            <v/>
          </cell>
        </row>
        <row r="3255">
          <cell r="A3255" t="str">
            <v/>
          </cell>
        </row>
        <row r="3256">
          <cell r="A3256" t="str">
            <v/>
          </cell>
        </row>
        <row r="3257">
          <cell r="A3257" t="str">
            <v/>
          </cell>
        </row>
        <row r="3258">
          <cell r="A3258" t="str">
            <v/>
          </cell>
        </row>
        <row r="3259">
          <cell r="A3259" t="str">
            <v/>
          </cell>
        </row>
        <row r="3260">
          <cell r="A3260" t="str">
            <v/>
          </cell>
        </row>
        <row r="3261">
          <cell r="A3261" t="str">
            <v/>
          </cell>
        </row>
        <row r="3262">
          <cell r="A3262" t="str">
            <v/>
          </cell>
        </row>
        <row r="3263">
          <cell r="A3263" t="str">
            <v/>
          </cell>
        </row>
        <row r="3264">
          <cell r="A3264" t="str">
            <v/>
          </cell>
        </row>
        <row r="3265">
          <cell r="A3265" t="str">
            <v/>
          </cell>
        </row>
        <row r="3266">
          <cell r="A3266" t="str">
            <v/>
          </cell>
        </row>
        <row r="3267">
          <cell r="A3267" t="str">
            <v/>
          </cell>
        </row>
        <row r="3268">
          <cell r="A3268" t="str">
            <v/>
          </cell>
        </row>
        <row r="3269">
          <cell r="A3269" t="str">
            <v/>
          </cell>
        </row>
        <row r="3270">
          <cell r="A3270" t="str">
            <v/>
          </cell>
        </row>
        <row r="3271">
          <cell r="A3271" t="str">
            <v/>
          </cell>
        </row>
        <row r="3272">
          <cell r="A3272" t="str">
            <v/>
          </cell>
        </row>
        <row r="3273">
          <cell r="A3273" t="str">
            <v/>
          </cell>
        </row>
        <row r="3274">
          <cell r="A3274" t="str">
            <v/>
          </cell>
        </row>
        <row r="3275">
          <cell r="A3275" t="str">
            <v/>
          </cell>
        </row>
        <row r="3276">
          <cell r="A3276" t="str">
            <v/>
          </cell>
        </row>
        <row r="3277">
          <cell r="A3277" t="str">
            <v/>
          </cell>
        </row>
        <row r="3278">
          <cell r="A3278" t="str">
            <v/>
          </cell>
        </row>
        <row r="3279">
          <cell r="A3279" t="str">
            <v/>
          </cell>
        </row>
        <row r="3280">
          <cell r="A3280" t="str">
            <v/>
          </cell>
        </row>
        <row r="3281">
          <cell r="A3281" t="str">
            <v/>
          </cell>
        </row>
        <row r="3282">
          <cell r="A3282" t="str">
            <v/>
          </cell>
        </row>
        <row r="3283">
          <cell r="A3283" t="str">
            <v/>
          </cell>
        </row>
        <row r="3284">
          <cell r="A3284" t="str">
            <v/>
          </cell>
        </row>
        <row r="3285">
          <cell r="A3285" t="str">
            <v/>
          </cell>
        </row>
        <row r="3286">
          <cell r="A3286" t="str">
            <v/>
          </cell>
        </row>
        <row r="3287">
          <cell r="A3287" t="str">
            <v/>
          </cell>
        </row>
        <row r="3288">
          <cell r="A3288" t="str">
            <v/>
          </cell>
        </row>
        <row r="3289">
          <cell r="A3289" t="str">
            <v/>
          </cell>
        </row>
        <row r="3290">
          <cell r="A3290" t="str">
            <v/>
          </cell>
        </row>
        <row r="3291">
          <cell r="A3291" t="str">
            <v/>
          </cell>
        </row>
        <row r="3292">
          <cell r="A3292" t="str">
            <v/>
          </cell>
        </row>
        <row r="3293">
          <cell r="A3293" t="str">
            <v/>
          </cell>
        </row>
        <row r="3294">
          <cell r="A3294" t="str">
            <v/>
          </cell>
        </row>
        <row r="3295">
          <cell r="A3295" t="str">
            <v/>
          </cell>
        </row>
        <row r="3296">
          <cell r="A3296" t="str">
            <v/>
          </cell>
        </row>
        <row r="3297">
          <cell r="A3297" t="str">
            <v/>
          </cell>
        </row>
        <row r="3298">
          <cell r="A3298" t="str">
            <v/>
          </cell>
        </row>
        <row r="3299">
          <cell r="A3299" t="str">
            <v/>
          </cell>
        </row>
        <row r="3300">
          <cell r="A3300" t="str">
            <v/>
          </cell>
        </row>
        <row r="3301">
          <cell r="A3301" t="str">
            <v/>
          </cell>
        </row>
        <row r="3302">
          <cell r="A3302" t="str">
            <v/>
          </cell>
        </row>
        <row r="3303">
          <cell r="A3303" t="str">
            <v/>
          </cell>
        </row>
        <row r="3304">
          <cell r="A3304" t="str">
            <v/>
          </cell>
        </row>
        <row r="3305">
          <cell r="A3305" t="str">
            <v/>
          </cell>
        </row>
        <row r="3306">
          <cell r="A3306" t="str">
            <v/>
          </cell>
        </row>
        <row r="3307">
          <cell r="A3307" t="str">
            <v/>
          </cell>
        </row>
        <row r="3308">
          <cell r="A3308" t="str">
            <v/>
          </cell>
        </row>
        <row r="3309">
          <cell r="A3309" t="str">
            <v/>
          </cell>
        </row>
        <row r="3310">
          <cell r="A3310" t="str">
            <v/>
          </cell>
        </row>
        <row r="3311">
          <cell r="A3311" t="str">
            <v/>
          </cell>
        </row>
        <row r="3312">
          <cell r="A3312" t="str">
            <v/>
          </cell>
        </row>
        <row r="3313">
          <cell r="A3313" t="str">
            <v/>
          </cell>
        </row>
        <row r="3314">
          <cell r="A3314" t="str">
            <v/>
          </cell>
        </row>
        <row r="3315">
          <cell r="A3315" t="str">
            <v/>
          </cell>
        </row>
        <row r="3316">
          <cell r="A3316" t="str">
            <v/>
          </cell>
        </row>
        <row r="3317">
          <cell r="A3317" t="str">
            <v/>
          </cell>
        </row>
        <row r="3318">
          <cell r="A3318" t="str">
            <v/>
          </cell>
        </row>
        <row r="3319">
          <cell r="A3319" t="str">
            <v/>
          </cell>
        </row>
        <row r="3320">
          <cell r="A3320" t="str">
            <v/>
          </cell>
        </row>
        <row r="3321">
          <cell r="A3321" t="str">
            <v/>
          </cell>
        </row>
        <row r="3322">
          <cell r="A3322" t="str">
            <v/>
          </cell>
        </row>
        <row r="3323">
          <cell r="A3323" t="str">
            <v/>
          </cell>
        </row>
        <row r="3324">
          <cell r="A3324" t="str">
            <v/>
          </cell>
        </row>
        <row r="3325">
          <cell r="A3325" t="str">
            <v/>
          </cell>
        </row>
        <row r="3326">
          <cell r="A3326" t="str">
            <v/>
          </cell>
        </row>
        <row r="3327">
          <cell r="A3327" t="str">
            <v/>
          </cell>
        </row>
        <row r="3328">
          <cell r="A3328" t="str">
            <v/>
          </cell>
        </row>
        <row r="3329">
          <cell r="A3329" t="str">
            <v/>
          </cell>
        </row>
        <row r="3330">
          <cell r="A3330" t="str">
            <v/>
          </cell>
        </row>
        <row r="3331">
          <cell r="A3331" t="str">
            <v/>
          </cell>
        </row>
        <row r="3332">
          <cell r="A3332" t="str">
            <v/>
          </cell>
        </row>
        <row r="3333">
          <cell r="A3333" t="str">
            <v/>
          </cell>
        </row>
        <row r="3334">
          <cell r="A3334" t="str">
            <v/>
          </cell>
        </row>
        <row r="3335">
          <cell r="A3335" t="str">
            <v/>
          </cell>
        </row>
        <row r="3336">
          <cell r="A3336" t="str">
            <v/>
          </cell>
        </row>
        <row r="3337">
          <cell r="A3337" t="str">
            <v/>
          </cell>
        </row>
        <row r="3338">
          <cell r="A3338" t="str">
            <v/>
          </cell>
        </row>
        <row r="3339">
          <cell r="A3339" t="str">
            <v/>
          </cell>
        </row>
        <row r="3340">
          <cell r="A3340" t="str">
            <v/>
          </cell>
        </row>
        <row r="3341">
          <cell r="A3341" t="str">
            <v/>
          </cell>
        </row>
        <row r="3342">
          <cell r="A3342" t="str">
            <v/>
          </cell>
        </row>
        <row r="3343">
          <cell r="A3343" t="str">
            <v/>
          </cell>
        </row>
        <row r="3344">
          <cell r="A3344" t="str">
            <v/>
          </cell>
        </row>
        <row r="3345">
          <cell r="A3345" t="str">
            <v/>
          </cell>
        </row>
        <row r="3346">
          <cell r="A3346" t="str">
            <v/>
          </cell>
        </row>
        <row r="3347">
          <cell r="A3347" t="str">
            <v/>
          </cell>
        </row>
        <row r="3348">
          <cell r="A3348" t="str">
            <v/>
          </cell>
        </row>
        <row r="3349">
          <cell r="A3349" t="str">
            <v/>
          </cell>
        </row>
        <row r="3350">
          <cell r="A3350" t="str">
            <v/>
          </cell>
        </row>
        <row r="3351">
          <cell r="A3351" t="str">
            <v/>
          </cell>
        </row>
        <row r="3352">
          <cell r="A3352" t="str">
            <v/>
          </cell>
        </row>
        <row r="3353">
          <cell r="A3353" t="str">
            <v/>
          </cell>
        </row>
        <row r="3354">
          <cell r="A3354" t="str">
            <v/>
          </cell>
        </row>
        <row r="3355">
          <cell r="A3355" t="str">
            <v/>
          </cell>
        </row>
        <row r="3356">
          <cell r="A3356" t="str">
            <v/>
          </cell>
        </row>
        <row r="3357">
          <cell r="A3357" t="str">
            <v/>
          </cell>
        </row>
        <row r="3358">
          <cell r="A3358" t="str">
            <v/>
          </cell>
        </row>
        <row r="3359">
          <cell r="A3359" t="str">
            <v/>
          </cell>
        </row>
        <row r="3360">
          <cell r="A3360" t="str">
            <v/>
          </cell>
        </row>
        <row r="3361">
          <cell r="A3361" t="str">
            <v/>
          </cell>
        </row>
        <row r="3362">
          <cell r="A3362" t="str">
            <v/>
          </cell>
        </row>
        <row r="3363">
          <cell r="A3363" t="str">
            <v/>
          </cell>
        </row>
        <row r="3364">
          <cell r="A3364" t="str">
            <v/>
          </cell>
        </row>
        <row r="3365">
          <cell r="A3365" t="str">
            <v/>
          </cell>
        </row>
        <row r="3366">
          <cell r="A3366" t="str">
            <v/>
          </cell>
        </row>
        <row r="3367">
          <cell r="A3367" t="str">
            <v/>
          </cell>
        </row>
        <row r="3368">
          <cell r="A3368" t="str">
            <v/>
          </cell>
        </row>
        <row r="3369">
          <cell r="A3369" t="str">
            <v/>
          </cell>
        </row>
        <row r="3370">
          <cell r="A3370" t="str">
            <v/>
          </cell>
        </row>
        <row r="3371">
          <cell r="A3371" t="str">
            <v/>
          </cell>
        </row>
        <row r="3372">
          <cell r="A3372" t="str">
            <v/>
          </cell>
        </row>
        <row r="3373">
          <cell r="A3373" t="str">
            <v/>
          </cell>
        </row>
        <row r="3374">
          <cell r="A3374" t="str">
            <v/>
          </cell>
        </row>
        <row r="3375">
          <cell r="A3375" t="str">
            <v/>
          </cell>
        </row>
        <row r="3376">
          <cell r="A3376" t="str">
            <v/>
          </cell>
        </row>
        <row r="3377">
          <cell r="A3377" t="str">
            <v/>
          </cell>
        </row>
        <row r="3378">
          <cell r="A3378" t="str">
            <v/>
          </cell>
        </row>
      </sheetData>
      <sheetData sheetId="2" refreshError="1">
        <row r="3">
          <cell r="A3" t="str">
            <v>T0937K79904</v>
          </cell>
          <cell r="B3">
            <v>35444</v>
          </cell>
          <cell r="C3" t="str">
            <v>7RSB001A</v>
          </cell>
          <cell r="D3">
            <v>302</v>
          </cell>
          <cell r="E3" t="str">
            <v>245/50R13</v>
          </cell>
          <cell r="F3" t="str">
            <v>RA21</v>
          </cell>
          <cell r="G3" t="str">
            <v>T0937K</v>
          </cell>
          <cell r="H3" t="str">
            <v>NN</v>
          </cell>
          <cell r="I3">
            <v>79904</v>
          </cell>
          <cell r="J3" t="str">
            <v>M0改:TOPウスGa</v>
          </cell>
          <cell r="K3" t="str">
            <v>FJ</v>
          </cell>
          <cell r="L3">
            <v>391</v>
          </cell>
          <cell r="M3" t="str">
            <v>BES&amp;1-2P間ｾﾊﾟ-&gt;CBU,FL10mm</v>
          </cell>
          <cell r="N3" t="str">
            <v>11.5J</v>
          </cell>
        </row>
        <row r="4">
          <cell r="A4" t="str">
            <v>T0937K79921</v>
          </cell>
          <cell r="B4">
            <v>35444</v>
          </cell>
          <cell r="C4" t="str">
            <v>7RSB001A</v>
          </cell>
          <cell r="D4">
            <v>302</v>
          </cell>
          <cell r="E4" t="str">
            <v>245/50R13</v>
          </cell>
          <cell r="F4" t="str">
            <v>RA21</v>
          </cell>
          <cell r="G4" t="str">
            <v>T0937K</v>
          </cell>
          <cell r="H4" t="str">
            <v>NN</v>
          </cell>
          <cell r="I4">
            <v>79921</v>
          </cell>
          <cell r="J4" t="str">
            <v>M0改:TOPウスGa</v>
          </cell>
          <cell r="K4" t="str">
            <v>FJ</v>
          </cell>
          <cell r="L4">
            <v>384</v>
          </cell>
          <cell r="M4" t="str">
            <v>BES&amp;1-2P間ｾﾊﾟ-&gt;CBU,FL10mm</v>
          </cell>
          <cell r="N4" t="str">
            <v>11.5J</v>
          </cell>
        </row>
        <row r="5">
          <cell r="A5" t="str">
            <v>B0937K81528</v>
          </cell>
          <cell r="B5">
            <v>35444</v>
          </cell>
          <cell r="C5" t="str">
            <v>7RSB001A</v>
          </cell>
          <cell r="D5">
            <v>303</v>
          </cell>
          <cell r="E5" t="str">
            <v>245/50R13</v>
          </cell>
          <cell r="F5" t="str">
            <v>RA21</v>
          </cell>
          <cell r="G5" t="str">
            <v>B0937K</v>
          </cell>
          <cell r="H5" t="str">
            <v>NN</v>
          </cell>
          <cell r="I5">
            <v>81528</v>
          </cell>
          <cell r="J5" t="str">
            <v>PLY:22/22</v>
          </cell>
          <cell r="K5" t="str">
            <v>F02</v>
          </cell>
          <cell r="L5">
            <v>472</v>
          </cell>
          <cell r="M5" t="str">
            <v>1,2P間ｾﾊﾟ-&gt;CBU.FL大</v>
          </cell>
          <cell r="N5" t="str">
            <v>11.5J</v>
          </cell>
        </row>
        <row r="6">
          <cell r="A6" t="str">
            <v>T0937K88049</v>
          </cell>
          <cell r="B6">
            <v>35444</v>
          </cell>
          <cell r="C6" t="str">
            <v>7RSB001A</v>
          </cell>
          <cell r="D6">
            <v>303</v>
          </cell>
          <cell r="E6" t="str">
            <v>245/50R13</v>
          </cell>
          <cell r="F6" t="str">
            <v>RA21</v>
          </cell>
          <cell r="G6" t="str">
            <v>T0937K</v>
          </cell>
          <cell r="H6" t="str">
            <v>NN</v>
          </cell>
          <cell r="I6">
            <v>88049</v>
          </cell>
          <cell r="J6" t="str">
            <v>M0改:TOPウスGa</v>
          </cell>
          <cell r="K6" t="str">
            <v>F02</v>
          </cell>
          <cell r="L6">
            <v>489</v>
          </cell>
          <cell r="M6" t="str">
            <v>BES-&gt;CBUFL2mm</v>
          </cell>
          <cell r="N6" t="str">
            <v>11.5J</v>
          </cell>
        </row>
        <row r="7">
          <cell r="A7" t="str">
            <v>L0937K92484</v>
          </cell>
          <cell r="B7">
            <v>35468</v>
          </cell>
          <cell r="C7" t="str">
            <v>7RSB001A</v>
          </cell>
          <cell r="D7">
            <v>306</v>
          </cell>
          <cell r="E7" t="str">
            <v>245/50R13</v>
          </cell>
          <cell r="F7" t="str">
            <v>RA21</v>
          </cell>
          <cell r="G7" t="str">
            <v>L0937K</v>
          </cell>
          <cell r="H7" t="str">
            <v>NN</v>
          </cell>
          <cell r="I7">
            <v>92484</v>
          </cell>
          <cell r="J7" t="str">
            <v>T0改:BEG除去</v>
          </cell>
          <cell r="K7" t="str">
            <v>F02</v>
          </cell>
          <cell r="L7">
            <v>497</v>
          </cell>
          <cell r="M7" t="str">
            <v>1,2P間ｾﾊﾟ-&gt;CBU.FL10mm</v>
          </cell>
          <cell r="N7" t="str">
            <v>11.5J</v>
          </cell>
        </row>
        <row r="8">
          <cell r="A8" t="str">
            <v>L0937K92486</v>
          </cell>
          <cell r="B8">
            <v>35468</v>
          </cell>
          <cell r="C8" t="str">
            <v>7RSB001A</v>
          </cell>
          <cell r="D8">
            <v>306</v>
          </cell>
          <cell r="E8" t="str">
            <v>245/50R13</v>
          </cell>
          <cell r="F8" t="str">
            <v>RA21</v>
          </cell>
          <cell r="G8" t="str">
            <v>L0937K</v>
          </cell>
          <cell r="H8" t="str">
            <v>G1</v>
          </cell>
          <cell r="I8">
            <v>92486</v>
          </cell>
          <cell r="J8" t="str">
            <v>T0改:BUC除去</v>
          </cell>
          <cell r="K8" t="str">
            <v>F02</v>
          </cell>
          <cell r="L8">
            <v>494</v>
          </cell>
          <cell r="M8" t="str">
            <v>BES-&gt;CBU,1部1.2P間セパ,FL10mm</v>
          </cell>
          <cell r="N8" t="str">
            <v>11.5J</v>
          </cell>
        </row>
        <row r="9">
          <cell r="A9" t="str">
            <v>L0937K92490</v>
          </cell>
          <cell r="B9">
            <v>35468</v>
          </cell>
          <cell r="C9" t="str">
            <v>7RSB001A</v>
          </cell>
          <cell r="D9">
            <v>306</v>
          </cell>
          <cell r="E9" t="str">
            <v>245/50R13</v>
          </cell>
          <cell r="F9" t="str">
            <v>RA21</v>
          </cell>
          <cell r="G9" t="str">
            <v>L0937K</v>
          </cell>
          <cell r="H9" t="str">
            <v>G2</v>
          </cell>
          <cell r="I9">
            <v>92490</v>
          </cell>
          <cell r="J9" t="str">
            <v>T0改:BUCｽｷｰｼﾞ化</v>
          </cell>
          <cell r="K9" t="str">
            <v>F02</v>
          </cell>
          <cell r="L9">
            <v>436</v>
          </cell>
          <cell r="M9" t="str">
            <v>BES-&gt;CBU,FL10mm</v>
          </cell>
          <cell r="N9" t="str">
            <v>11.5J</v>
          </cell>
        </row>
        <row r="10">
          <cell r="A10" t="str">
            <v>T0937K63549</v>
          </cell>
          <cell r="B10">
            <v>35468</v>
          </cell>
          <cell r="C10" t="str">
            <v>7RSB001A</v>
          </cell>
          <cell r="D10">
            <v>306</v>
          </cell>
          <cell r="E10" t="str">
            <v>245/50R13</v>
          </cell>
          <cell r="F10" t="str">
            <v>RA21</v>
          </cell>
          <cell r="G10" t="str">
            <v>T0937K</v>
          </cell>
          <cell r="H10" t="str">
            <v>NN</v>
          </cell>
          <cell r="I10">
            <v>63549</v>
          </cell>
          <cell r="J10" t="str">
            <v>M0改:TOPウスGa</v>
          </cell>
          <cell r="K10" t="str">
            <v>F02</v>
          </cell>
          <cell r="L10">
            <v>455</v>
          </cell>
          <cell r="M10" t="str">
            <v>1,2P間ｾﾊﾟ-&gt;CBU.FL30mm</v>
          </cell>
          <cell r="N10" t="str">
            <v>11.5J</v>
          </cell>
        </row>
        <row r="11">
          <cell r="A11" t="str">
            <v>B0001K95055</v>
          </cell>
          <cell r="B11">
            <v>35468</v>
          </cell>
          <cell r="C11" t="str">
            <v>7RSB001A</v>
          </cell>
          <cell r="D11">
            <v>308</v>
          </cell>
          <cell r="E11" t="str">
            <v>245/50R13</v>
          </cell>
          <cell r="F11" t="str">
            <v>RA21</v>
          </cell>
          <cell r="G11" t="str">
            <v>B0001K</v>
          </cell>
          <cell r="H11" t="str">
            <v>NN</v>
          </cell>
          <cell r="I11">
            <v>95055</v>
          </cell>
          <cell r="J11" t="str">
            <v>RD1 RACE SPEC:COMP'D-937(4021)</v>
          </cell>
          <cell r="K11" t="str">
            <v>F02</v>
          </cell>
          <cell r="L11">
            <v>487</v>
          </cell>
          <cell r="M11" t="str">
            <v>BES-&gt;CBU</v>
          </cell>
          <cell r="N11" t="str">
            <v>11.5J</v>
          </cell>
        </row>
        <row r="12">
          <cell r="A12" t="str">
            <v>B0001K95010</v>
          </cell>
          <cell r="B12">
            <v>35468</v>
          </cell>
          <cell r="C12" t="str">
            <v>7RSB001A</v>
          </cell>
          <cell r="D12">
            <v>308</v>
          </cell>
          <cell r="E12" t="str">
            <v>245/50R13</v>
          </cell>
          <cell r="F12" t="str">
            <v>RA21</v>
          </cell>
          <cell r="G12" t="str">
            <v>B0001K</v>
          </cell>
          <cell r="H12" t="str">
            <v>NN</v>
          </cell>
          <cell r="I12">
            <v>95010</v>
          </cell>
          <cell r="J12" t="str">
            <v>RD1 RACE SPEC:COMP'D-937(4025)</v>
          </cell>
          <cell r="K12" t="str">
            <v>F02</v>
          </cell>
          <cell r="L12">
            <v>451</v>
          </cell>
          <cell r="M12" t="str">
            <v>BES-&gt;CBU</v>
          </cell>
          <cell r="N12" t="str">
            <v>11.5J</v>
          </cell>
        </row>
        <row r="13">
          <cell r="A13" t="str">
            <v>B0002K95214</v>
          </cell>
          <cell r="B13">
            <v>35468</v>
          </cell>
          <cell r="C13" t="str">
            <v>7RSB001A</v>
          </cell>
          <cell r="D13">
            <v>308</v>
          </cell>
          <cell r="E13" t="str">
            <v>245/50R13</v>
          </cell>
          <cell r="F13" t="str">
            <v>RA21</v>
          </cell>
          <cell r="G13" t="str">
            <v>B0002K</v>
          </cell>
          <cell r="H13" t="str">
            <v>NN</v>
          </cell>
          <cell r="I13">
            <v>95214</v>
          </cell>
          <cell r="J13" t="str">
            <v>RD1 RACE SPEC:COMP'D-937(4022)</v>
          </cell>
          <cell r="K13" t="str">
            <v>F03</v>
          </cell>
          <cell r="L13">
            <v>479</v>
          </cell>
          <cell r="M13" t="str">
            <v>BES-&gt;CBU</v>
          </cell>
          <cell r="N13" t="str">
            <v>11.5J</v>
          </cell>
        </row>
        <row r="14">
          <cell r="A14" t="str">
            <v>B0002K95121</v>
          </cell>
          <cell r="B14">
            <v>35468</v>
          </cell>
          <cell r="C14" t="str">
            <v>7RSB001A</v>
          </cell>
          <cell r="D14">
            <v>308</v>
          </cell>
          <cell r="E14" t="str">
            <v>245/50R13</v>
          </cell>
          <cell r="F14" t="str">
            <v>RA21</v>
          </cell>
          <cell r="G14" t="str">
            <v>B0002K</v>
          </cell>
          <cell r="H14" t="str">
            <v>NN</v>
          </cell>
          <cell r="I14">
            <v>95121</v>
          </cell>
          <cell r="J14" t="str">
            <v>RD1 RACE SPEC:COMP'D-937(4026)</v>
          </cell>
          <cell r="K14" t="str">
            <v>F03</v>
          </cell>
          <cell r="L14">
            <v>465</v>
          </cell>
          <cell r="M14" t="str">
            <v>BES-&gt;CBU</v>
          </cell>
          <cell r="N14" t="str">
            <v>11.5J</v>
          </cell>
        </row>
        <row r="15">
          <cell r="A15" t="str">
            <v>B0003K99621</v>
          </cell>
          <cell r="B15">
            <v>35468</v>
          </cell>
          <cell r="C15" t="str">
            <v>7RSB001A</v>
          </cell>
          <cell r="D15">
            <v>309</v>
          </cell>
          <cell r="E15" t="str">
            <v>245/50R13</v>
          </cell>
          <cell r="F15" t="str">
            <v>RA21</v>
          </cell>
          <cell r="G15" t="str">
            <v>B0003K</v>
          </cell>
          <cell r="H15" t="str">
            <v>NN</v>
          </cell>
          <cell r="I15">
            <v>99621</v>
          </cell>
          <cell r="J15" t="str">
            <v>RD1 RACE SPEC:COMP'D-061(4813)</v>
          </cell>
          <cell r="K15" t="str">
            <v>F02</v>
          </cell>
          <cell r="L15">
            <v>433</v>
          </cell>
          <cell r="M15" t="str">
            <v>BES-&gt;1-2P間ｾﾊﾟ-&gt;CBU,FLP2mm</v>
          </cell>
          <cell r="N15" t="str">
            <v>11.5J</v>
          </cell>
        </row>
        <row r="16">
          <cell r="A16" t="str">
            <v>B0004K99429</v>
          </cell>
          <cell r="B16">
            <v>35468</v>
          </cell>
          <cell r="C16" t="str">
            <v>7RSB001A</v>
          </cell>
          <cell r="D16">
            <v>309</v>
          </cell>
          <cell r="E16" t="str">
            <v>245/50R13</v>
          </cell>
          <cell r="F16" t="str">
            <v>RA21</v>
          </cell>
          <cell r="G16" t="str">
            <v>B0004K</v>
          </cell>
          <cell r="H16" t="str">
            <v>NN</v>
          </cell>
          <cell r="I16">
            <v>99429</v>
          </cell>
          <cell r="J16" t="str">
            <v>RD1 RACE SPEC:COMP'D-061(4814)</v>
          </cell>
          <cell r="K16" t="str">
            <v>F03</v>
          </cell>
          <cell r="L16">
            <v>468</v>
          </cell>
          <cell r="M16" t="str">
            <v>BES-&gt;1-2P間ｾﾊﾟ-&gt;CBU,FLP3mm</v>
          </cell>
          <cell r="N16" t="str">
            <v>11.5J</v>
          </cell>
        </row>
        <row r="17">
          <cell r="A17" t="str">
            <v>T0937K79901</v>
          </cell>
          <cell r="B17">
            <v>35495</v>
          </cell>
          <cell r="C17" t="str">
            <v>7RSB001A</v>
          </cell>
          <cell r="D17">
            <v>312</v>
          </cell>
          <cell r="E17" t="str">
            <v>245/50R13</v>
          </cell>
          <cell r="F17" t="str">
            <v>RA21</v>
          </cell>
          <cell r="G17" t="str">
            <v>T0937K</v>
          </cell>
          <cell r="H17" t="str">
            <v>NN</v>
          </cell>
          <cell r="I17">
            <v>79901</v>
          </cell>
          <cell r="J17" t="str">
            <v>W650,IP1.5,SA=CA=0</v>
          </cell>
          <cell r="K17" t="str">
            <v>FK2</v>
          </cell>
          <cell r="L17">
            <v>410</v>
          </cell>
          <cell r="M17" t="str">
            <v>ﾌﾞﾛｰ無し</v>
          </cell>
          <cell r="N17" t="str">
            <v>12.0J</v>
          </cell>
        </row>
        <row r="18">
          <cell r="A18" t="str">
            <v>T0937K88088</v>
          </cell>
          <cell r="B18">
            <v>35495</v>
          </cell>
          <cell r="C18" t="str">
            <v>7RSB001A</v>
          </cell>
          <cell r="D18">
            <v>312</v>
          </cell>
          <cell r="E18" t="str">
            <v>245/50R13</v>
          </cell>
          <cell r="F18" t="str">
            <v>RA21</v>
          </cell>
          <cell r="G18" t="str">
            <v>T0937K</v>
          </cell>
          <cell r="H18" t="str">
            <v>NN</v>
          </cell>
          <cell r="I18">
            <v>88088</v>
          </cell>
          <cell r="J18" t="str">
            <v>W650,IP2.0,SA=CA=0</v>
          </cell>
          <cell r="K18" t="str">
            <v>FK3</v>
          </cell>
          <cell r="L18">
            <v>410</v>
          </cell>
          <cell r="M18" t="str">
            <v>ﾌﾞﾛｰ無し</v>
          </cell>
          <cell r="N18" t="str">
            <v>12.0J</v>
          </cell>
        </row>
        <row r="19">
          <cell r="A19" t="str">
            <v>T0937K88089</v>
          </cell>
          <cell r="B19">
            <v>35495</v>
          </cell>
          <cell r="C19" t="str">
            <v>7RSB001A</v>
          </cell>
          <cell r="D19">
            <v>312</v>
          </cell>
          <cell r="E19" t="str">
            <v>245/50R13</v>
          </cell>
          <cell r="F19" t="str">
            <v>RA21</v>
          </cell>
          <cell r="G19" t="str">
            <v>T0937K</v>
          </cell>
          <cell r="H19" t="str">
            <v>NN</v>
          </cell>
          <cell r="I19">
            <v>88089</v>
          </cell>
          <cell r="J19" t="str">
            <v>W650,IP1.0,SA=CA=0</v>
          </cell>
          <cell r="K19" t="str">
            <v>FK1</v>
          </cell>
          <cell r="L19">
            <v>410</v>
          </cell>
          <cell r="M19" t="str">
            <v>ｾ)20cmﾌﾞﾛｰ(反ｾ)全周ﾁｬﾝｸ</v>
          </cell>
          <cell r="N19" t="str">
            <v>11.5J</v>
          </cell>
        </row>
        <row r="20">
          <cell r="A20" t="str">
            <v>T0937K88090</v>
          </cell>
          <cell r="B20">
            <v>35495</v>
          </cell>
          <cell r="C20" t="str">
            <v>7RSB001A</v>
          </cell>
          <cell r="D20">
            <v>312</v>
          </cell>
          <cell r="E20" t="str">
            <v>245/50R13</v>
          </cell>
          <cell r="F20" t="str">
            <v>RA21</v>
          </cell>
          <cell r="G20" t="str">
            <v>T0937K</v>
          </cell>
          <cell r="H20" t="str">
            <v>NN</v>
          </cell>
          <cell r="I20">
            <v>88090</v>
          </cell>
          <cell r="J20" t="str">
            <v>W480,IP1.0,SA=CA=0</v>
          </cell>
          <cell r="K20" t="str">
            <v>FL1</v>
          </cell>
          <cell r="L20">
            <v>410</v>
          </cell>
          <cell r="M20" t="str">
            <v>ﾌﾞﾛｰ無し</v>
          </cell>
          <cell r="N20" t="str">
            <v>12.0J</v>
          </cell>
        </row>
        <row r="21">
          <cell r="A21" t="str">
            <v>T0937K88018</v>
          </cell>
          <cell r="B21">
            <v>35499</v>
          </cell>
          <cell r="C21" t="str">
            <v>7RSB001A</v>
          </cell>
          <cell r="D21">
            <v>313</v>
          </cell>
          <cell r="E21" t="str">
            <v>245/50R13</v>
          </cell>
          <cell r="F21" t="str">
            <v>RA21</v>
          </cell>
          <cell r="G21" t="str">
            <v>T0937K</v>
          </cell>
          <cell r="H21" t="str">
            <v>NN</v>
          </cell>
          <cell r="I21">
            <v>88018</v>
          </cell>
          <cell r="J21" t="str">
            <v>W650,IP1.5,SA=3,CA=0</v>
          </cell>
          <cell r="K21" t="str">
            <v>FK6</v>
          </cell>
          <cell r="L21">
            <v>410</v>
          </cell>
          <cell r="M21" t="str">
            <v>ﾌﾞﾛｰ無し</v>
          </cell>
          <cell r="N21" t="str">
            <v>12.0J</v>
          </cell>
        </row>
        <row r="22">
          <cell r="A22" t="str">
            <v>T0937K88041</v>
          </cell>
          <cell r="B22">
            <v>35499</v>
          </cell>
          <cell r="C22" t="str">
            <v>7RSB001A</v>
          </cell>
          <cell r="D22">
            <v>313</v>
          </cell>
          <cell r="E22" t="str">
            <v>245/50R13</v>
          </cell>
          <cell r="F22" t="str">
            <v>RA21</v>
          </cell>
          <cell r="G22" t="str">
            <v>T0937K</v>
          </cell>
          <cell r="H22" t="str">
            <v>NN</v>
          </cell>
          <cell r="I22">
            <v>88041</v>
          </cell>
          <cell r="J22" t="str">
            <v>W650,IP1.5,SA=0,CA=2</v>
          </cell>
          <cell r="K22" t="str">
            <v>FK5</v>
          </cell>
          <cell r="L22">
            <v>367</v>
          </cell>
          <cell r="M22" t="str">
            <v>ｾ)20cmﾌﾞﾛｰﾁｬﾝｸ半周</v>
          </cell>
          <cell r="N22" t="str">
            <v>12.0J</v>
          </cell>
        </row>
        <row r="23">
          <cell r="A23" t="str">
            <v>T0937K88046</v>
          </cell>
          <cell r="B23">
            <v>35499</v>
          </cell>
          <cell r="C23" t="str">
            <v>7RSB001A</v>
          </cell>
          <cell r="D23">
            <v>313</v>
          </cell>
          <cell r="E23" t="str">
            <v>245/50R13</v>
          </cell>
          <cell r="F23" t="str">
            <v>RA21</v>
          </cell>
          <cell r="G23" t="str">
            <v>T0937K</v>
          </cell>
          <cell r="H23" t="str">
            <v>NN</v>
          </cell>
          <cell r="I23">
            <v>88046</v>
          </cell>
          <cell r="J23" t="str">
            <v>W850,IP1.0,SA=CA=0</v>
          </cell>
          <cell r="K23" t="str">
            <v>FM1</v>
          </cell>
          <cell r="L23">
            <v>372</v>
          </cell>
          <cell r="M23" t="str">
            <v>ｾ)20cmﾌﾞﾛｰﾁｬﾝｸ半周</v>
          </cell>
          <cell r="N23" t="str">
            <v>12.0J</v>
          </cell>
        </row>
        <row r="24">
          <cell r="A24" t="str">
            <v>T0937K88091</v>
          </cell>
          <cell r="B24">
            <v>35499</v>
          </cell>
          <cell r="C24" t="str">
            <v>7RSB001A</v>
          </cell>
          <cell r="D24">
            <v>313</v>
          </cell>
          <cell r="E24" t="str">
            <v>245/50R13</v>
          </cell>
          <cell r="F24" t="str">
            <v>RA21</v>
          </cell>
          <cell r="G24" t="str">
            <v>T0937K</v>
          </cell>
          <cell r="H24" t="str">
            <v>NN</v>
          </cell>
          <cell r="I24">
            <v>88091</v>
          </cell>
          <cell r="J24" t="str">
            <v>W650,IP1.0,SA=0,CA=2</v>
          </cell>
          <cell r="K24" t="str">
            <v>FK4</v>
          </cell>
          <cell r="L24">
            <v>293</v>
          </cell>
          <cell r="M24" t="str">
            <v>ｾ)20cmﾌﾞﾛｰﾁｬﾝｸ半周</v>
          </cell>
          <cell r="N24" t="str">
            <v>12.0J</v>
          </cell>
        </row>
        <row r="25">
          <cell r="A25" t="str">
            <v>B0003K99688</v>
          </cell>
          <cell r="B25">
            <v>35500</v>
          </cell>
          <cell r="C25" t="str">
            <v>7RSB001A</v>
          </cell>
          <cell r="D25">
            <v>314</v>
          </cell>
          <cell r="E25" t="str">
            <v>245/50R13</v>
          </cell>
          <cell r="F25" t="str">
            <v>RA21</v>
          </cell>
          <cell r="G25" t="str">
            <v>B0003K</v>
          </cell>
          <cell r="H25" t="str">
            <v>NN</v>
          </cell>
          <cell r="I25">
            <v>99688</v>
          </cell>
          <cell r="J25" t="str">
            <v>COMP'D-061</v>
          </cell>
          <cell r="K25" t="str">
            <v>FK4</v>
          </cell>
          <cell r="L25">
            <v>301</v>
          </cell>
          <cell r="M25" t="str">
            <v>ｾ)全周FOLD上ﾌﾞﾛｰﾁｬﾝｸ</v>
          </cell>
          <cell r="N25" t="str">
            <v>12.0J</v>
          </cell>
        </row>
        <row r="26">
          <cell r="A26" t="str">
            <v>M0937K42945</v>
          </cell>
          <cell r="B26">
            <v>35500</v>
          </cell>
          <cell r="C26" t="str">
            <v>7RSB001A</v>
          </cell>
          <cell r="D26">
            <v>314</v>
          </cell>
          <cell r="E26" t="str">
            <v>245/50R13</v>
          </cell>
          <cell r="F26" t="str">
            <v>RA21</v>
          </cell>
          <cell r="G26" t="str">
            <v>M0937K</v>
          </cell>
          <cell r="H26" t="str">
            <v>NN</v>
          </cell>
          <cell r="I26">
            <v>42945</v>
          </cell>
          <cell r="J26" t="str">
            <v>COMP'D-937 厚ｹﾞｰｼﾞ</v>
          </cell>
          <cell r="K26" t="str">
            <v>FK4</v>
          </cell>
          <cell r="L26">
            <v>231</v>
          </cell>
          <cell r="M26" t="str">
            <v>ｾ)1/2周FOLD上ﾌﾞﾛｰﾁｬﾝｸ</v>
          </cell>
          <cell r="N26" t="str">
            <v>12.0J</v>
          </cell>
        </row>
        <row r="27">
          <cell r="A27" t="str">
            <v>T0937K64840</v>
          </cell>
          <cell r="B27">
            <v>35500</v>
          </cell>
          <cell r="C27" t="str">
            <v>7RSB001A</v>
          </cell>
          <cell r="D27">
            <v>314</v>
          </cell>
          <cell r="E27" t="str">
            <v>245/50R13</v>
          </cell>
          <cell r="F27" t="str">
            <v>RA21</v>
          </cell>
          <cell r="G27" t="str">
            <v>T0937K</v>
          </cell>
          <cell r="H27" t="str">
            <v>NN</v>
          </cell>
          <cell r="I27">
            <v>64840</v>
          </cell>
          <cell r="J27" t="str">
            <v>COMP'D-943</v>
          </cell>
          <cell r="K27" t="str">
            <v>FK4</v>
          </cell>
          <cell r="L27">
            <v>316</v>
          </cell>
          <cell r="M27" t="str">
            <v>ｾ)1/2周FOLD上ﾌﾞﾛｰﾁｬﾝｸ</v>
          </cell>
          <cell r="N27" t="str">
            <v>12.0J</v>
          </cell>
        </row>
        <row r="28">
          <cell r="A28" t="str">
            <v>T0937K88043</v>
          </cell>
          <cell r="B28">
            <v>35500</v>
          </cell>
          <cell r="C28" t="str">
            <v>7RSB001A</v>
          </cell>
          <cell r="D28">
            <v>314</v>
          </cell>
          <cell r="E28" t="str">
            <v>245/50R13</v>
          </cell>
          <cell r="F28" t="str">
            <v>RA21</v>
          </cell>
          <cell r="G28" t="str">
            <v>T0937K</v>
          </cell>
          <cell r="H28" t="str">
            <v>NN</v>
          </cell>
          <cell r="I28">
            <v>88043</v>
          </cell>
          <cell r="J28" t="str">
            <v>COMP'D-937</v>
          </cell>
          <cell r="K28" t="str">
            <v>FK4</v>
          </cell>
          <cell r="L28">
            <v>272</v>
          </cell>
          <cell r="M28" t="str">
            <v>ｾ)1/4周FOLD上ﾌﾞﾛｰﾁｬﾝｸ</v>
          </cell>
          <cell r="N28" t="str">
            <v>12.0J</v>
          </cell>
        </row>
        <row r="29">
          <cell r="A29" t="str">
            <v>T0966K93154</v>
          </cell>
          <cell r="B29">
            <v>35500</v>
          </cell>
          <cell r="C29" t="str">
            <v>7RSB001A</v>
          </cell>
          <cell r="D29">
            <v>314</v>
          </cell>
          <cell r="E29" t="str">
            <v>245/50R13</v>
          </cell>
          <cell r="F29" t="str">
            <v>RA21</v>
          </cell>
          <cell r="G29" t="str">
            <v>T0966K</v>
          </cell>
          <cell r="H29" t="str">
            <v>NN</v>
          </cell>
          <cell r="I29">
            <v>93154</v>
          </cell>
          <cell r="J29" t="str">
            <v>COMP'D-966</v>
          </cell>
          <cell r="K29" t="str">
            <v>FK4</v>
          </cell>
          <cell r="L29">
            <v>394</v>
          </cell>
          <cell r="M29" t="str">
            <v>ｾ)1ｶ所FOLD上ﾌﾞﾛｰﾁｬﾝｸ</v>
          </cell>
          <cell r="N29" t="str">
            <v>12.0J</v>
          </cell>
        </row>
        <row r="30">
          <cell r="A30" t="str">
            <v>B0001K2954</v>
          </cell>
          <cell r="B30">
            <v>35506</v>
          </cell>
          <cell r="C30" t="str">
            <v>7RSB001A</v>
          </cell>
          <cell r="D30">
            <v>315</v>
          </cell>
          <cell r="E30" t="str">
            <v>245/50R13</v>
          </cell>
          <cell r="F30" t="str">
            <v>RA21</v>
          </cell>
          <cell r="G30" t="str">
            <v>B0001K</v>
          </cell>
          <cell r="H30" t="str">
            <v>NN</v>
          </cell>
          <cell r="I30">
            <v>2954</v>
          </cell>
          <cell r="J30" t="str">
            <v>RD2 RACE SPEC:COMP'D-937(4801)</v>
          </cell>
          <cell r="K30" t="str">
            <v>F02</v>
          </cell>
          <cell r="L30">
            <v>471</v>
          </cell>
          <cell r="M30" t="str">
            <v>BES-&gt;CBU,FL1mm</v>
          </cell>
          <cell r="N30" t="str">
            <v>11.5J</v>
          </cell>
        </row>
        <row r="31">
          <cell r="A31" t="str">
            <v>B0003K5626</v>
          </cell>
          <cell r="B31">
            <v>35506</v>
          </cell>
          <cell r="C31" t="str">
            <v>7RSB001A</v>
          </cell>
          <cell r="D31">
            <v>316</v>
          </cell>
          <cell r="E31" t="str">
            <v>245/50R13</v>
          </cell>
          <cell r="F31" t="str">
            <v>RA21</v>
          </cell>
          <cell r="G31" t="str">
            <v>B0003K</v>
          </cell>
          <cell r="H31" t="str">
            <v>NN</v>
          </cell>
          <cell r="I31">
            <v>5626</v>
          </cell>
          <cell r="J31" t="str">
            <v>RD3 RACE SPEC:COMP'D-061(4816)</v>
          </cell>
          <cell r="K31" t="str">
            <v>F02</v>
          </cell>
          <cell r="L31">
            <v>455</v>
          </cell>
          <cell r="M31" t="str">
            <v>反ｾ)BES-&gt;1-2P間ｾﾊﾟ-&gt;CBU,FLPｾﾊﾟ2mm</v>
          </cell>
          <cell r="N31" t="str">
            <v>11.5J</v>
          </cell>
        </row>
        <row r="32">
          <cell r="A32" t="str">
            <v>A0937K6457</v>
          </cell>
          <cell r="B32">
            <v>35524</v>
          </cell>
          <cell r="C32" t="str">
            <v>7RSB001A</v>
          </cell>
          <cell r="D32">
            <v>317</v>
          </cell>
          <cell r="E32" t="str">
            <v>245/50R13</v>
          </cell>
          <cell r="F32" t="str">
            <v>RA21</v>
          </cell>
          <cell r="G32" t="str">
            <v>A0937K</v>
          </cell>
          <cell r="H32" t="str">
            <v>NN</v>
          </cell>
          <cell r="I32">
            <v>6457</v>
          </cell>
          <cell r="J32" t="str">
            <v>PLY:22/22</v>
          </cell>
          <cell r="K32" t="str">
            <v>F02</v>
          </cell>
          <cell r="L32">
            <v>483</v>
          </cell>
          <cell r="M32" t="str">
            <v>1,2P間セパ-&gt;CBU(1/2周),FLPｾﾊﾟ10mm</v>
          </cell>
          <cell r="N32" t="str">
            <v>11.5J</v>
          </cell>
        </row>
        <row r="33">
          <cell r="A33" t="str">
            <v>T0937K6502</v>
          </cell>
          <cell r="B33">
            <v>35524</v>
          </cell>
          <cell r="C33" t="str">
            <v>7RSB001A</v>
          </cell>
          <cell r="D33">
            <v>317</v>
          </cell>
          <cell r="E33" t="str">
            <v>245/50R13</v>
          </cell>
          <cell r="F33" t="str">
            <v>RA21</v>
          </cell>
          <cell r="G33" t="str">
            <v>T0937K</v>
          </cell>
          <cell r="H33" t="str">
            <v>NN</v>
          </cell>
          <cell r="I33">
            <v>6502</v>
          </cell>
          <cell r="J33" t="str">
            <v>M0改:TOPウスGa</v>
          </cell>
          <cell r="K33" t="str">
            <v>F02</v>
          </cell>
          <cell r="L33">
            <v>473</v>
          </cell>
          <cell r="M33" t="str">
            <v>BES-&gt;CBU,FL5-6mm</v>
          </cell>
          <cell r="N33" t="str">
            <v>11.5J</v>
          </cell>
        </row>
        <row r="34">
          <cell r="A34" t="str">
            <v>Z0937K5876</v>
          </cell>
          <cell r="B34">
            <v>35524</v>
          </cell>
          <cell r="C34" t="str">
            <v>7RSB001A</v>
          </cell>
          <cell r="D34">
            <v>317</v>
          </cell>
          <cell r="E34" t="str">
            <v>245/50R13</v>
          </cell>
          <cell r="F34" t="str">
            <v>RA21</v>
          </cell>
          <cell r="G34" t="str">
            <v>Z0937K</v>
          </cell>
          <cell r="H34" t="str">
            <v>NN</v>
          </cell>
          <cell r="I34">
            <v>5876</v>
          </cell>
          <cell r="J34" t="str">
            <v>T0改:BEG除去</v>
          </cell>
          <cell r="K34" t="str">
            <v>F02</v>
          </cell>
          <cell r="L34">
            <v>510</v>
          </cell>
          <cell r="M34" t="str">
            <v>完走OK,FLPｾﾊﾟ1-2mmのみ</v>
          </cell>
          <cell r="N34" t="str">
            <v>11.5J</v>
          </cell>
        </row>
        <row r="35">
          <cell r="A35" t="str">
            <v>T0937K64756</v>
          </cell>
          <cell r="B35">
            <v>35508</v>
          </cell>
          <cell r="C35" t="str">
            <v>7RSB001A</v>
          </cell>
          <cell r="D35">
            <v>318</v>
          </cell>
          <cell r="E35" t="str">
            <v>245/50R13</v>
          </cell>
          <cell r="F35" t="str">
            <v>RA21</v>
          </cell>
          <cell r="G35" t="str">
            <v>T0937K</v>
          </cell>
          <cell r="H35" t="str">
            <v>NN</v>
          </cell>
          <cell r="I35">
            <v>64756</v>
          </cell>
          <cell r="J35" t="str">
            <v>W850,IP2.5,SA=CA=0</v>
          </cell>
          <cell r="K35" t="str">
            <v>FN2</v>
          </cell>
          <cell r="L35">
            <v>371</v>
          </cell>
          <cell r="N35" t="str">
            <v>11.5J</v>
          </cell>
        </row>
        <row r="36">
          <cell r="A36" t="str">
            <v>T0937K64762</v>
          </cell>
          <cell r="B36">
            <v>35508</v>
          </cell>
          <cell r="C36" t="str">
            <v>7RSB001A</v>
          </cell>
          <cell r="D36">
            <v>318</v>
          </cell>
          <cell r="E36" t="str">
            <v>245/50R13</v>
          </cell>
          <cell r="F36" t="str">
            <v>RA21</v>
          </cell>
          <cell r="G36" t="str">
            <v>T0937K</v>
          </cell>
          <cell r="H36" t="str">
            <v>NN</v>
          </cell>
          <cell r="I36">
            <v>64762</v>
          </cell>
          <cell r="L36">
            <v>494</v>
          </cell>
          <cell r="N36" t="str">
            <v>11.5J</v>
          </cell>
        </row>
        <row r="37">
          <cell r="A37" t="str">
            <v>T0937K64766</v>
          </cell>
          <cell r="B37">
            <v>35508</v>
          </cell>
          <cell r="C37" t="str">
            <v>7RSB001A</v>
          </cell>
          <cell r="D37">
            <v>318</v>
          </cell>
          <cell r="E37" t="str">
            <v>245/50R13</v>
          </cell>
          <cell r="F37" t="str">
            <v>RA21</v>
          </cell>
          <cell r="G37" t="str">
            <v>T0937K</v>
          </cell>
          <cell r="H37" t="str">
            <v>NN</v>
          </cell>
          <cell r="I37">
            <v>64766</v>
          </cell>
          <cell r="J37" t="str">
            <v>W850,IP2.0,SA=CA=0</v>
          </cell>
          <cell r="K37" t="str">
            <v>FN1</v>
          </cell>
          <cell r="L37">
            <v>353</v>
          </cell>
          <cell r="N37" t="str">
            <v>11.5J</v>
          </cell>
        </row>
        <row r="38">
          <cell r="A38" t="str">
            <v>T0937K64784</v>
          </cell>
          <cell r="B38">
            <v>35508</v>
          </cell>
          <cell r="C38" t="str">
            <v>7RSB001A</v>
          </cell>
          <cell r="D38">
            <v>318</v>
          </cell>
          <cell r="E38" t="str">
            <v>245/50R13</v>
          </cell>
          <cell r="F38" t="str">
            <v>RA21</v>
          </cell>
          <cell r="G38" t="str">
            <v>T0937K</v>
          </cell>
          <cell r="H38" t="str">
            <v>NN</v>
          </cell>
          <cell r="I38">
            <v>64784</v>
          </cell>
          <cell r="J38" t="str">
            <v>W1040,IP3.7,SA=CA=0</v>
          </cell>
          <cell r="K38" t="str">
            <v>FN3</v>
          </cell>
          <cell r="L38">
            <v>395</v>
          </cell>
          <cell r="N38" t="str">
            <v>11.5J</v>
          </cell>
        </row>
        <row r="39">
          <cell r="A39" t="str">
            <v>T0937K63553</v>
          </cell>
          <cell r="B39">
            <v>35528</v>
          </cell>
          <cell r="C39" t="str">
            <v>7RSB001A</v>
          </cell>
          <cell r="D39">
            <v>321</v>
          </cell>
          <cell r="E39" t="str">
            <v>245/50R13</v>
          </cell>
          <cell r="F39" t="str">
            <v>RA21</v>
          </cell>
          <cell r="G39" t="str">
            <v>T0937K</v>
          </cell>
          <cell r="H39" t="str">
            <v>NN</v>
          </cell>
          <cell r="I39">
            <v>63553</v>
          </cell>
          <cell r="J39" t="str">
            <v>W300,IP3.0,SA4,CA0</v>
          </cell>
          <cell r="K39" t="str">
            <v>FP4</v>
          </cell>
          <cell r="L39">
            <v>477</v>
          </cell>
          <cell r="M39" t="str">
            <v>接地端付近ｽﾌﾟﾗｲｽ&amp;2Bｼﾞｮｲﾝﾄ付近ﾌﾞﾛｰ</v>
          </cell>
          <cell r="N39" t="str">
            <v>11.5J</v>
          </cell>
        </row>
        <row r="40">
          <cell r="A40" t="str">
            <v>T0937K67559</v>
          </cell>
          <cell r="B40">
            <v>35528</v>
          </cell>
          <cell r="C40" t="str">
            <v>7RSB001A</v>
          </cell>
          <cell r="D40">
            <v>321</v>
          </cell>
          <cell r="E40" t="str">
            <v>245/50R13</v>
          </cell>
          <cell r="F40" t="str">
            <v>RA21</v>
          </cell>
          <cell r="G40" t="str">
            <v>T0937K</v>
          </cell>
          <cell r="H40" t="str">
            <v>NN</v>
          </cell>
          <cell r="I40">
            <v>67559</v>
          </cell>
          <cell r="J40" t="str">
            <v>W230,IP2.5,SA4.CA0</v>
          </cell>
          <cell r="K40" t="str">
            <v>FP2</v>
          </cell>
          <cell r="L40">
            <v>457</v>
          </cell>
          <cell r="M40" t="str">
            <v>ｽﾌﾟﾗｲｽｼﾞｮｲﾝﾄ付近接地端側ﾌﾞﾛｰ</v>
          </cell>
          <cell r="N40" t="str">
            <v>11.5J</v>
          </cell>
        </row>
        <row r="41">
          <cell r="A41" t="str">
            <v>T0937K67581</v>
          </cell>
          <cell r="B41">
            <v>35528</v>
          </cell>
          <cell r="C41" t="str">
            <v>7RSB001A</v>
          </cell>
          <cell r="D41">
            <v>321</v>
          </cell>
          <cell r="E41" t="str">
            <v>245/50R13</v>
          </cell>
          <cell r="F41" t="str">
            <v>RA21</v>
          </cell>
          <cell r="G41" t="str">
            <v>T0937K</v>
          </cell>
          <cell r="H41" t="str">
            <v>NN</v>
          </cell>
          <cell r="I41">
            <v>67581</v>
          </cell>
          <cell r="J41" t="str">
            <v>W230,IP2.5,SA2.CA0</v>
          </cell>
          <cell r="K41" t="str">
            <v>FP1</v>
          </cell>
          <cell r="L41">
            <v>422</v>
          </cell>
          <cell r="M41" t="str">
            <v>全周ﾌﾞﾛｰﾁｬﾝｸ</v>
          </cell>
          <cell r="N41" t="str">
            <v>11.5J</v>
          </cell>
        </row>
        <row r="42">
          <cell r="A42" t="str">
            <v>T0937K67920</v>
          </cell>
          <cell r="B42">
            <v>35528</v>
          </cell>
          <cell r="C42" t="str">
            <v>7RSB001A</v>
          </cell>
          <cell r="D42">
            <v>321</v>
          </cell>
          <cell r="E42" t="str">
            <v>245/50R13</v>
          </cell>
          <cell r="F42" t="str">
            <v>RA21</v>
          </cell>
          <cell r="G42" t="str">
            <v>T0937K</v>
          </cell>
          <cell r="H42" t="str">
            <v>NN</v>
          </cell>
          <cell r="I42">
            <v>67920</v>
          </cell>
          <cell r="J42" t="str">
            <v>W300,IP3.0,SA2,CA0</v>
          </cell>
          <cell r="K42" t="str">
            <v>FP3</v>
          </cell>
          <cell r="L42">
            <v>510</v>
          </cell>
          <cell r="M42" t="str">
            <v>ﾌﾞﾛｰ無し</v>
          </cell>
          <cell r="N42" t="str">
            <v>11.5J</v>
          </cell>
        </row>
        <row r="43">
          <cell r="A43" t="str">
            <v>B0003K99679</v>
          </cell>
          <cell r="B43">
            <v>35534</v>
          </cell>
          <cell r="C43" t="str">
            <v>7RSB001A</v>
          </cell>
          <cell r="D43">
            <v>322</v>
          </cell>
          <cell r="E43" t="str">
            <v>245/50R13</v>
          </cell>
          <cell r="F43" t="str">
            <v>RA21</v>
          </cell>
          <cell r="G43" t="str">
            <v>B0003K</v>
          </cell>
          <cell r="H43" t="str">
            <v>NN</v>
          </cell>
          <cell r="I43">
            <v>99679</v>
          </cell>
          <cell r="J43" t="str">
            <v>W230,IP2.5,SA2.CA0</v>
          </cell>
          <cell r="K43" t="str">
            <v>FP1</v>
          </cell>
          <cell r="L43">
            <v>404</v>
          </cell>
          <cell r="M43" t="str">
            <v>ｽﾌﾟﾗｲｽ付近ｾﾝﾀｰ&amp;接地端側ﾌﾞﾛｰ1ｶ所</v>
          </cell>
          <cell r="N43" t="str">
            <v>11.5J</v>
          </cell>
        </row>
        <row r="44">
          <cell r="A44" t="str">
            <v>T0937K88030</v>
          </cell>
          <cell r="B44">
            <v>35534</v>
          </cell>
          <cell r="C44" t="str">
            <v>7RSB001A</v>
          </cell>
          <cell r="D44">
            <v>322</v>
          </cell>
          <cell r="E44" t="str">
            <v>245/50R13</v>
          </cell>
          <cell r="F44" t="str">
            <v>RA21</v>
          </cell>
          <cell r="G44" t="str">
            <v>T0937K</v>
          </cell>
          <cell r="H44" t="str">
            <v>NN</v>
          </cell>
          <cell r="I44">
            <v>88030</v>
          </cell>
          <cell r="J44" t="str">
            <v>W230,IP2.5,SA2.CA0</v>
          </cell>
          <cell r="K44" t="str">
            <v>FP1</v>
          </cell>
          <cell r="L44">
            <v>461</v>
          </cell>
          <cell r="M44" t="str">
            <v>ｽﾌﾟﾗｲｽ付近ｾﾝﾀｰ&amp;接地端側ﾌﾞﾛｰ2ｶ所</v>
          </cell>
          <cell r="N44" t="str">
            <v>11.5J</v>
          </cell>
        </row>
        <row r="45">
          <cell r="A45" t="str">
            <v>T0943K5585</v>
          </cell>
          <cell r="B45">
            <v>35534</v>
          </cell>
          <cell r="C45" t="str">
            <v>7RSB001A</v>
          </cell>
          <cell r="D45">
            <v>322</v>
          </cell>
          <cell r="E45" t="str">
            <v>245/50R13</v>
          </cell>
          <cell r="F45" t="str">
            <v>RA21</v>
          </cell>
          <cell r="G45" t="str">
            <v>T0943K</v>
          </cell>
          <cell r="H45" t="str">
            <v>NN</v>
          </cell>
          <cell r="I45">
            <v>5585</v>
          </cell>
          <cell r="J45" t="str">
            <v>W230,IP2.5,SA2.CA0</v>
          </cell>
          <cell r="K45" t="str">
            <v>FP1</v>
          </cell>
          <cell r="L45">
            <v>510</v>
          </cell>
          <cell r="M45" t="str">
            <v>ﾌﾞﾛｰ無し</v>
          </cell>
          <cell r="N45" t="str">
            <v>11.5J</v>
          </cell>
        </row>
        <row r="46">
          <cell r="A46" t="str">
            <v>T0966K93763</v>
          </cell>
          <cell r="B46">
            <v>35534</v>
          </cell>
          <cell r="C46" t="str">
            <v>7RSB001A</v>
          </cell>
          <cell r="D46">
            <v>322</v>
          </cell>
          <cell r="E46" t="str">
            <v>245/50R13</v>
          </cell>
          <cell r="F46" t="str">
            <v>RA21</v>
          </cell>
          <cell r="G46" t="str">
            <v>T0966K</v>
          </cell>
          <cell r="H46" t="str">
            <v>NN</v>
          </cell>
          <cell r="I46">
            <v>93763</v>
          </cell>
          <cell r="J46" t="str">
            <v>W230,IP2.5,SA2.CA0</v>
          </cell>
          <cell r="K46" t="str">
            <v>FP1</v>
          </cell>
          <cell r="L46">
            <v>478</v>
          </cell>
          <cell r="M46" t="str">
            <v>ｽﾌﾟﾗｲｽ付近ｾﾝﾀｰ&amp;接地端側ﾌﾞﾛｰ2ｶ所</v>
          </cell>
          <cell r="N46" t="str">
            <v>11.5J</v>
          </cell>
        </row>
        <row r="47">
          <cell r="A47" t="str">
            <v>B0009K13407</v>
          </cell>
          <cell r="B47">
            <v>35543</v>
          </cell>
          <cell r="C47" t="str">
            <v>7RSB001A</v>
          </cell>
          <cell r="D47">
            <v>323</v>
          </cell>
          <cell r="E47" t="str">
            <v>245/50R13</v>
          </cell>
          <cell r="F47" t="str">
            <v>RA21</v>
          </cell>
          <cell r="G47" t="str">
            <v>B0009K</v>
          </cell>
          <cell r="H47" t="str">
            <v>NN</v>
          </cell>
          <cell r="I47">
            <v>13407</v>
          </cell>
          <cell r="J47" t="str">
            <v>RD4 RACE SPEC:COMP'D-125(4820)</v>
          </cell>
          <cell r="K47" t="str">
            <v>F02</v>
          </cell>
          <cell r="L47">
            <v>458</v>
          </cell>
          <cell r="M47" t="str">
            <v>1,2P間セパ-&gt;CBU,FLPｾﾊﾟ2mm</v>
          </cell>
          <cell r="N47" t="str">
            <v>11.5J</v>
          </cell>
        </row>
        <row r="48">
          <cell r="A48" t="str">
            <v>T0937K6518</v>
          </cell>
          <cell r="B48">
            <v>35543</v>
          </cell>
          <cell r="C48" t="str">
            <v>7RSB001A</v>
          </cell>
          <cell r="D48">
            <v>323</v>
          </cell>
          <cell r="E48" t="str">
            <v>245/50R13</v>
          </cell>
          <cell r="F48" t="str">
            <v>RA21</v>
          </cell>
          <cell r="G48" t="str">
            <v>T0937K</v>
          </cell>
          <cell r="H48" t="str">
            <v>NN</v>
          </cell>
          <cell r="I48">
            <v>6518</v>
          </cell>
          <cell r="J48" t="str">
            <v>M0改:TOPウスGa(4828)</v>
          </cell>
          <cell r="K48" t="str">
            <v>F02</v>
          </cell>
          <cell r="L48">
            <v>461</v>
          </cell>
          <cell r="M48" t="str">
            <v>BES ,1,2P間セパ-&gt;CBU,FLPｾﾊﾟ2mm</v>
          </cell>
          <cell r="N48" t="str">
            <v>11.5J</v>
          </cell>
        </row>
        <row r="49">
          <cell r="A49" t="str">
            <v>U0937S15864</v>
          </cell>
          <cell r="B49">
            <v>35543</v>
          </cell>
          <cell r="C49" t="str">
            <v>7RSB001A</v>
          </cell>
          <cell r="D49">
            <v>323</v>
          </cell>
          <cell r="E49" t="str">
            <v>245/50R13</v>
          </cell>
          <cell r="F49" t="str">
            <v>RA21</v>
          </cell>
          <cell r="G49" t="str">
            <v>U0937S</v>
          </cell>
          <cell r="H49" t="str">
            <v>NN</v>
          </cell>
          <cell r="I49">
            <v>15864</v>
          </cell>
          <cell r="J49" t="str">
            <v>溝付きDRY(4831)</v>
          </cell>
          <cell r="K49" t="str">
            <v>F02</v>
          </cell>
          <cell r="L49">
            <v>510</v>
          </cell>
          <cell r="M49" t="str">
            <v>FLP端ｾﾊﾟ2mmを除きOK</v>
          </cell>
          <cell r="N49" t="str">
            <v>11.5J</v>
          </cell>
        </row>
        <row r="50">
          <cell r="A50" t="str">
            <v>B0007K16955</v>
          </cell>
          <cell r="B50">
            <v>35557</v>
          </cell>
          <cell r="C50" t="str">
            <v>7RSB001A</v>
          </cell>
          <cell r="D50">
            <v>324</v>
          </cell>
          <cell r="E50" t="str">
            <v>245/50R13</v>
          </cell>
          <cell r="F50" t="str">
            <v>RA21</v>
          </cell>
          <cell r="G50" t="str">
            <v>B0007K</v>
          </cell>
          <cell r="H50" t="str">
            <v>NN</v>
          </cell>
          <cell r="I50">
            <v>16955</v>
          </cell>
          <cell r="J50" t="str">
            <v>RD5 RACE SPEC:COMP'D-127(4836)</v>
          </cell>
          <cell r="K50" t="str">
            <v>F02</v>
          </cell>
          <cell r="L50">
            <v>429</v>
          </cell>
          <cell r="M50" t="str">
            <v>BES -&gt;CBU全周,FLPｾﾊﾟ10mm</v>
          </cell>
          <cell r="N50" t="str">
            <v>11.5J</v>
          </cell>
        </row>
        <row r="51">
          <cell r="A51" t="str">
            <v>T0937K6512</v>
          </cell>
          <cell r="B51">
            <v>35557</v>
          </cell>
          <cell r="C51" t="str">
            <v>7RSB001A</v>
          </cell>
          <cell r="D51">
            <v>324</v>
          </cell>
          <cell r="E51" t="str">
            <v>245/50R13</v>
          </cell>
          <cell r="F51" t="str">
            <v>RA21</v>
          </cell>
          <cell r="G51" t="str">
            <v>T0937K</v>
          </cell>
          <cell r="H51" t="str">
            <v>NN</v>
          </cell>
          <cell r="I51">
            <v>6512</v>
          </cell>
          <cell r="J51" t="str">
            <v>M0改:TOPウスGa(4828)</v>
          </cell>
          <cell r="K51" t="str">
            <v>F02</v>
          </cell>
          <cell r="L51">
            <v>482</v>
          </cell>
          <cell r="M51" t="str">
            <v>BES -&gt;CBU,FLPｾﾊﾟOK</v>
          </cell>
          <cell r="N51" t="str">
            <v>11.5J</v>
          </cell>
        </row>
        <row r="52">
          <cell r="A52" t="str">
            <v>T0937K6503</v>
          </cell>
          <cell r="B52">
            <v>35557</v>
          </cell>
          <cell r="C52" t="str">
            <v>7RSB001A</v>
          </cell>
          <cell r="D52">
            <v>325</v>
          </cell>
          <cell r="E52" t="str">
            <v>245/50R13</v>
          </cell>
          <cell r="F52" t="str">
            <v>RA21</v>
          </cell>
          <cell r="G52" t="str">
            <v>T0937K</v>
          </cell>
          <cell r="H52" t="str">
            <v>NN</v>
          </cell>
          <cell r="I52">
            <v>6503</v>
          </cell>
          <cell r="J52" t="str">
            <v>W230,IP2.5,SA2.CA0</v>
          </cell>
          <cell r="K52" t="str">
            <v>FP1</v>
          </cell>
          <cell r="L52">
            <v>510</v>
          </cell>
          <cell r="M52" t="str">
            <v>1Pｼﾞｮｲﾝﾄ部付近1ｶ所ﾌﾞﾛｰｱｳﾄ</v>
          </cell>
          <cell r="N52" t="str">
            <v>11.5J</v>
          </cell>
        </row>
        <row r="53">
          <cell r="A53" t="str">
            <v>T0937K6507</v>
          </cell>
          <cell r="B53">
            <v>35557</v>
          </cell>
          <cell r="C53" t="str">
            <v>7RSB001A</v>
          </cell>
          <cell r="D53">
            <v>325</v>
          </cell>
          <cell r="E53" t="str">
            <v>245/50R13</v>
          </cell>
          <cell r="F53" t="str">
            <v>RA21</v>
          </cell>
          <cell r="G53" t="str">
            <v>T0937K</v>
          </cell>
          <cell r="H53" t="str">
            <v>NN</v>
          </cell>
          <cell r="I53">
            <v>6507</v>
          </cell>
          <cell r="J53" t="str">
            <v>W230,IP2.5,SA2.CA0</v>
          </cell>
          <cell r="K53" t="str">
            <v>FP1</v>
          </cell>
          <cell r="L53">
            <v>510</v>
          </cell>
          <cell r="M53" t="str">
            <v>ﾌﾞﾛｰ無し</v>
          </cell>
          <cell r="N53" t="str">
            <v>11.5J</v>
          </cell>
        </row>
        <row r="54">
          <cell r="A54" t="str">
            <v>T0937K6522</v>
          </cell>
          <cell r="B54">
            <v>35557</v>
          </cell>
          <cell r="C54" t="str">
            <v>7RSB001A</v>
          </cell>
          <cell r="D54">
            <v>325</v>
          </cell>
          <cell r="E54" t="str">
            <v>245/50R13</v>
          </cell>
          <cell r="F54" t="str">
            <v>RA21</v>
          </cell>
          <cell r="G54" t="str">
            <v>T0937K</v>
          </cell>
          <cell r="H54" t="str">
            <v>NN</v>
          </cell>
          <cell r="I54">
            <v>6522</v>
          </cell>
          <cell r="J54" t="str">
            <v>W230,IP2.5,SA2.CA0</v>
          </cell>
          <cell r="K54" t="str">
            <v>FP1</v>
          </cell>
          <cell r="L54">
            <v>510</v>
          </cell>
          <cell r="M54" t="str">
            <v>1Pｼﾞｮｲﾝﾄ部付近2ｶ所ﾌﾞﾛｰｱｳﾄ</v>
          </cell>
          <cell r="N54" t="str">
            <v>11.5J</v>
          </cell>
        </row>
        <row r="55">
          <cell r="A55" t="str">
            <v>T0937K6545</v>
          </cell>
          <cell r="B55">
            <v>35557</v>
          </cell>
          <cell r="C55" t="str">
            <v>7RSB001A</v>
          </cell>
          <cell r="D55">
            <v>325</v>
          </cell>
          <cell r="E55" t="str">
            <v>245/50R13</v>
          </cell>
          <cell r="F55" t="str">
            <v>RA21</v>
          </cell>
          <cell r="G55" t="str">
            <v>T0937K</v>
          </cell>
          <cell r="H55" t="str">
            <v>NN</v>
          </cell>
          <cell r="I55">
            <v>6545</v>
          </cell>
          <cell r="J55" t="str">
            <v>W230,IP2.5,SA2.CA0</v>
          </cell>
          <cell r="K55" t="str">
            <v>FP1</v>
          </cell>
          <cell r="L55">
            <v>510</v>
          </cell>
          <cell r="M55" t="str">
            <v>ｽﾌﾟﾗｲｽ部ｾﾝﾀｰ付近＆その1/4周離れた箇所ﾌﾞﾛｰｱｳﾄ</v>
          </cell>
          <cell r="N55" t="str">
            <v>11.5J</v>
          </cell>
        </row>
        <row r="56">
          <cell r="A56" t="str">
            <v>T0937K6546</v>
          </cell>
          <cell r="B56">
            <v>35557</v>
          </cell>
          <cell r="C56" t="str">
            <v>7RSB001A</v>
          </cell>
          <cell r="D56">
            <v>325</v>
          </cell>
          <cell r="E56" t="str">
            <v>245/50R13</v>
          </cell>
          <cell r="F56" t="str">
            <v>RA21</v>
          </cell>
          <cell r="G56" t="str">
            <v>T0937K</v>
          </cell>
          <cell r="H56" t="str">
            <v>NN</v>
          </cell>
          <cell r="I56">
            <v>6546</v>
          </cell>
          <cell r="J56" t="str">
            <v>W230,IP2.5,SA2.CA0</v>
          </cell>
          <cell r="K56" t="str">
            <v>FP1</v>
          </cell>
          <cell r="L56">
            <v>507</v>
          </cell>
          <cell r="M56" t="str">
            <v>SF出側ｾﾝﾀｰ付近全周ﾌﾞﾛｰｱｳﾄ</v>
          </cell>
          <cell r="N56" t="str">
            <v>11.5J</v>
          </cell>
        </row>
        <row r="57">
          <cell r="A57" t="str">
            <v>B0015K20045</v>
          </cell>
          <cell r="B57">
            <v>35559</v>
          </cell>
          <cell r="C57" t="str">
            <v>7RSB001A</v>
          </cell>
          <cell r="D57">
            <v>326</v>
          </cell>
          <cell r="E57" t="str">
            <v>245/50R13</v>
          </cell>
          <cell r="F57" t="str">
            <v>RA21</v>
          </cell>
          <cell r="G57" t="str">
            <v>B0015K</v>
          </cell>
          <cell r="H57" t="str">
            <v>NN</v>
          </cell>
          <cell r="I57">
            <v>20045</v>
          </cell>
          <cell r="J57" t="str">
            <v>RD7 RACE SPEC:COMP'D-155(4803)</v>
          </cell>
          <cell r="K57" t="str">
            <v>F02</v>
          </cell>
          <cell r="L57">
            <v>457</v>
          </cell>
          <cell r="M57" t="str">
            <v>BES -&gt;CBU,一部BLC,FLPｾﾊﾟ10mm</v>
          </cell>
          <cell r="N57" t="str">
            <v>11.5J</v>
          </cell>
        </row>
        <row r="58">
          <cell r="A58" t="str">
            <v>T0937K6514</v>
          </cell>
          <cell r="B58">
            <v>35559</v>
          </cell>
          <cell r="C58" t="str">
            <v>7RSB001A</v>
          </cell>
          <cell r="D58">
            <v>326</v>
          </cell>
          <cell r="E58" t="str">
            <v>245/50R13</v>
          </cell>
          <cell r="F58" t="str">
            <v>RA21</v>
          </cell>
          <cell r="G58" t="str">
            <v>T0937K</v>
          </cell>
          <cell r="H58" t="str">
            <v>NN</v>
          </cell>
          <cell r="I58">
            <v>6514</v>
          </cell>
          <cell r="J58" t="str">
            <v>M0改:TOPウスGa(4828)</v>
          </cell>
          <cell r="K58" t="str">
            <v>F02</v>
          </cell>
          <cell r="L58">
            <v>448</v>
          </cell>
          <cell r="M58" t="str">
            <v>BES-&gt;1,2P間セパ-&gt;CBU,FLPｾﾊﾟ1mm</v>
          </cell>
          <cell r="N58" t="str">
            <v>11.5J</v>
          </cell>
        </row>
        <row r="59">
          <cell r="A59" t="str">
            <v>L0937K18395</v>
          </cell>
          <cell r="B59">
            <v>35577</v>
          </cell>
          <cell r="C59" t="str">
            <v>7RSB001A</v>
          </cell>
          <cell r="D59">
            <v>327</v>
          </cell>
          <cell r="E59" t="str">
            <v>245/50R13</v>
          </cell>
          <cell r="F59" t="str">
            <v>RA21</v>
          </cell>
          <cell r="G59" t="str">
            <v>L0937K</v>
          </cell>
          <cell r="H59" t="str">
            <v>R1</v>
          </cell>
          <cell r="I59">
            <v>18395</v>
          </cell>
          <cell r="J59" t="str">
            <v>BEG有,I/L幅80</v>
          </cell>
          <cell r="K59" t="str">
            <v>F02</v>
          </cell>
          <cell r="L59">
            <v>452</v>
          </cell>
          <cell r="M59" t="str">
            <v>BES -&gt;CBU全周,FLPｾﾊﾟ1mm</v>
          </cell>
          <cell r="N59" t="str">
            <v>11.5J</v>
          </cell>
        </row>
        <row r="60">
          <cell r="A60" t="str">
            <v>L0937K18398</v>
          </cell>
          <cell r="B60">
            <v>35577</v>
          </cell>
          <cell r="C60" t="str">
            <v>7RSB001A</v>
          </cell>
          <cell r="D60">
            <v>327</v>
          </cell>
          <cell r="E60" t="str">
            <v>245/50R13</v>
          </cell>
          <cell r="F60" t="str">
            <v>RA21</v>
          </cell>
          <cell r="G60" t="str">
            <v>L0937K</v>
          </cell>
          <cell r="H60" t="str">
            <v>Y1</v>
          </cell>
          <cell r="I60">
            <v>18398</v>
          </cell>
          <cell r="J60" t="str">
            <v>BEG有,I/L幅60</v>
          </cell>
          <cell r="K60" t="str">
            <v>F02</v>
          </cell>
          <cell r="L60">
            <v>466</v>
          </cell>
          <cell r="M60" t="str">
            <v>BES -&gt;CBU全周,FLPｾﾊﾟ1mm</v>
          </cell>
          <cell r="N60" t="str">
            <v>11.5J</v>
          </cell>
        </row>
        <row r="61">
          <cell r="A61" t="str">
            <v>Z0937K18389</v>
          </cell>
          <cell r="B61">
            <v>35577</v>
          </cell>
          <cell r="C61" t="str">
            <v>7RSB001A</v>
          </cell>
          <cell r="D61">
            <v>327</v>
          </cell>
          <cell r="E61" t="str">
            <v>245/50R13</v>
          </cell>
          <cell r="F61" t="str">
            <v>RA21</v>
          </cell>
          <cell r="G61" t="str">
            <v>Z0937K</v>
          </cell>
          <cell r="H61" t="str">
            <v>NN</v>
          </cell>
          <cell r="I61">
            <v>18389</v>
          </cell>
          <cell r="J61" t="str">
            <v>BEG無,I/L幅80</v>
          </cell>
          <cell r="K61" t="str">
            <v>F02</v>
          </cell>
          <cell r="L61">
            <v>449</v>
          </cell>
          <cell r="M61" t="str">
            <v>BES-&gt;1,2P間セパ-&gt;CBU,FLPｾﾊﾟ2mm</v>
          </cell>
          <cell r="N61" t="str">
            <v>11.5J</v>
          </cell>
        </row>
        <row r="62">
          <cell r="A62" t="str">
            <v>Z0937K18391</v>
          </cell>
          <cell r="B62">
            <v>35577</v>
          </cell>
          <cell r="C62" t="str">
            <v>7RSB001A</v>
          </cell>
          <cell r="D62">
            <v>327</v>
          </cell>
          <cell r="E62" t="str">
            <v>245/50R13</v>
          </cell>
          <cell r="F62" t="str">
            <v>RA21</v>
          </cell>
          <cell r="G62" t="str">
            <v>Z0937K</v>
          </cell>
          <cell r="H62" t="str">
            <v>B1</v>
          </cell>
          <cell r="I62">
            <v>18391</v>
          </cell>
          <cell r="J62" t="str">
            <v>BEG無,I/L幅80,1P上SQ</v>
          </cell>
          <cell r="K62" t="str">
            <v>F02</v>
          </cell>
          <cell r="L62">
            <v>451</v>
          </cell>
          <cell r="M62" t="str">
            <v>BES-&gt;1,2P間セパ-&gt;CBU,FLPｾﾊﾟ5mm</v>
          </cell>
          <cell r="N62" t="str">
            <v>11.5J</v>
          </cell>
        </row>
        <row r="63">
          <cell r="A63" t="str">
            <v>T0937K6551</v>
          </cell>
          <cell r="B63">
            <v>35580</v>
          </cell>
          <cell r="C63" t="str">
            <v>7RSB001A</v>
          </cell>
          <cell r="D63">
            <v>328</v>
          </cell>
          <cell r="E63" t="str">
            <v>245/50R13</v>
          </cell>
          <cell r="F63" t="str">
            <v>RA21</v>
          </cell>
          <cell r="G63" t="str">
            <v>T0937K</v>
          </cell>
          <cell r="H63" t="str">
            <v>NN</v>
          </cell>
          <cell r="I63">
            <v>6551</v>
          </cell>
          <cell r="J63" t="str">
            <v>LOAD640</v>
          </cell>
          <cell r="K63" t="str">
            <v>FQ3</v>
          </cell>
          <cell r="L63">
            <v>408</v>
          </cell>
          <cell r="M63" t="str">
            <v>BES-&gt;1/3周CBU</v>
          </cell>
          <cell r="N63" t="str">
            <v>11.5J</v>
          </cell>
        </row>
        <row r="64">
          <cell r="A64" t="str">
            <v>T0937K6552</v>
          </cell>
          <cell r="B64">
            <v>35580</v>
          </cell>
          <cell r="C64" t="str">
            <v>7RSB001A</v>
          </cell>
          <cell r="D64">
            <v>328</v>
          </cell>
          <cell r="E64" t="str">
            <v>245/50R13</v>
          </cell>
          <cell r="F64" t="str">
            <v>RA21</v>
          </cell>
          <cell r="G64" t="str">
            <v>T0937K</v>
          </cell>
          <cell r="H64" t="str">
            <v>NN</v>
          </cell>
          <cell r="I64">
            <v>6552</v>
          </cell>
          <cell r="J64" t="str">
            <v>LOAD580</v>
          </cell>
          <cell r="K64" t="str">
            <v>FQ2</v>
          </cell>
          <cell r="L64">
            <v>457</v>
          </cell>
          <cell r="M64" t="str">
            <v>BES-&gt;3/4周CBU</v>
          </cell>
          <cell r="N64" t="str">
            <v>11.5J</v>
          </cell>
        </row>
        <row r="65">
          <cell r="A65" t="str">
            <v>T0937K67481</v>
          </cell>
          <cell r="B65">
            <v>35580</v>
          </cell>
          <cell r="C65" t="str">
            <v>7RSB001A</v>
          </cell>
          <cell r="D65">
            <v>328</v>
          </cell>
          <cell r="E65" t="str">
            <v>245/50R13</v>
          </cell>
          <cell r="F65" t="str">
            <v>RA21</v>
          </cell>
          <cell r="G65" t="str">
            <v>T0937K</v>
          </cell>
          <cell r="H65" t="str">
            <v>NN</v>
          </cell>
          <cell r="I65">
            <v>67481</v>
          </cell>
          <cell r="J65" t="str">
            <v>LOAD480</v>
          </cell>
          <cell r="K65" t="str">
            <v>FQ1</v>
          </cell>
          <cell r="L65">
            <v>427</v>
          </cell>
          <cell r="M65" t="str">
            <v>BES-&gt;1/2周CBU</v>
          </cell>
          <cell r="N65" t="str">
            <v>11.5J</v>
          </cell>
        </row>
        <row r="66">
          <cell r="A66" t="str">
            <v>B0003K5580</v>
          </cell>
          <cell r="B66">
            <v>35576</v>
          </cell>
          <cell r="C66" t="str">
            <v>7RSB001A</v>
          </cell>
          <cell r="D66">
            <v>329</v>
          </cell>
          <cell r="E66" t="str">
            <v>245/50R13</v>
          </cell>
          <cell r="F66" t="str">
            <v>RA21</v>
          </cell>
          <cell r="G66" t="str">
            <v>B0003K</v>
          </cell>
          <cell r="H66" t="str">
            <v>NN</v>
          </cell>
          <cell r="I66">
            <v>5580</v>
          </cell>
          <cell r="J66" t="str">
            <v>COMP'D=061</v>
          </cell>
          <cell r="K66" t="str">
            <v>FP1</v>
          </cell>
          <cell r="L66">
            <v>450</v>
          </cell>
          <cell r="M66" t="str">
            <v>ｾﾝﾀｰ反ｾ側周上１ｶ所ﾌﾞﾛｰｱｳﾄ</v>
          </cell>
          <cell r="N66" t="str">
            <v>11.5J</v>
          </cell>
        </row>
        <row r="67">
          <cell r="A67" t="str">
            <v>B0005K4452</v>
          </cell>
          <cell r="B67">
            <v>35576</v>
          </cell>
          <cell r="C67" t="str">
            <v>7RSB001A</v>
          </cell>
          <cell r="D67">
            <v>329</v>
          </cell>
          <cell r="E67" t="str">
            <v>245/50R13</v>
          </cell>
          <cell r="F67" t="str">
            <v>RA21</v>
          </cell>
          <cell r="G67" t="str">
            <v>B0005K</v>
          </cell>
          <cell r="H67" t="str">
            <v>NN</v>
          </cell>
          <cell r="I67">
            <v>4452</v>
          </cell>
          <cell r="J67" t="str">
            <v>COMP'D=125</v>
          </cell>
          <cell r="K67" t="str">
            <v>FP1</v>
          </cell>
          <cell r="L67">
            <v>384</v>
          </cell>
          <cell r="M67" t="str">
            <v>ｾﾝﾀｰ反ｾ側周上１ｶ所ﾌﾞﾛｰｱｳﾄ</v>
          </cell>
          <cell r="N67" t="str">
            <v>11.5J</v>
          </cell>
        </row>
        <row r="68">
          <cell r="A68" t="str">
            <v>B0015K20050</v>
          </cell>
          <cell r="B68">
            <v>35576</v>
          </cell>
          <cell r="C68" t="str">
            <v>7RSB001A</v>
          </cell>
          <cell r="D68">
            <v>329</v>
          </cell>
          <cell r="E68" t="str">
            <v>245/50R13</v>
          </cell>
          <cell r="F68" t="str">
            <v>RA21</v>
          </cell>
          <cell r="G68" t="str">
            <v>B0015K</v>
          </cell>
          <cell r="H68" t="str">
            <v>NN</v>
          </cell>
          <cell r="I68">
            <v>20050</v>
          </cell>
          <cell r="J68" t="str">
            <v>COMP'D=155</v>
          </cell>
          <cell r="K68" t="str">
            <v>FP1</v>
          </cell>
          <cell r="L68">
            <v>403</v>
          </cell>
          <cell r="M68" t="str">
            <v>ｾﾝﾀｰ反ｾ側周上１ｶ所ﾌﾞﾛｰｱｳﾄ</v>
          </cell>
          <cell r="N68" t="str">
            <v>11.5J</v>
          </cell>
        </row>
        <row r="69">
          <cell r="A69" t="str">
            <v>B0017K19697</v>
          </cell>
          <cell r="B69">
            <v>35576</v>
          </cell>
          <cell r="C69" t="str">
            <v>7RSB001A</v>
          </cell>
          <cell r="D69">
            <v>329</v>
          </cell>
          <cell r="E69" t="str">
            <v>245/50R13</v>
          </cell>
          <cell r="F69" t="str">
            <v>RA21</v>
          </cell>
          <cell r="G69" t="str">
            <v>B0017K</v>
          </cell>
          <cell r="H69" t="str">
            <v>NN</v>
          </cell>
          <cell r="I69">
            <v>19697</v>
          </cell>
          <cell r="J69" t="str">
            <v>COMP'D=156</v>
          </cell>
          <cell r="K69" t="str">
            <v>FP1</v>
          </cell>
          <cell r="L69">
            <v>437</v>
          </cell>
          <cell r="M69" t="str">
            <v>ｾﾝﾀｰ反ｾ側周上１ｶ所ﾌﾞﾛｰｱｳﾄ</v>
          </cell>
          <cell r="N69" t="str">
            <v>11.5J</v>
          </cell>
        </row>
        <row r="70">
          <cell r="A70" t="str">
            <v>T0937K6523</v>
          </cell>
          <cell r="B70">
            <v>35576</v>
          </cell>
          <cell r="C70" t="str">
            <v>7RSB001A</v>
          </cell>
          <cell r="D70">
            <v>329</v>
          </cell>
          <cell r="E70" t="str">
            <v>245/50R13</v>
          </cell>
          <cell r="F70" t="str">
            <v>RA21</v>
          </cell>
          <cell r="G70" t="str">
            <v>T0937K</v>
          </cell>
          <cell r="H70" t="str">
            <v>NN</v>
          </cell>
          <cell r="I70">
            <v>6523</v>
          </cell>
          <cell r="J70" t="str">
            <v>COMP'D=937</v>
          </cell>
          <cell r="K70" t="str">
            <v>FP1</v>
          </cell>
          <cell r="L70">
            <v>421</v>
          </cell>
          <cell r="M70" t="str">
            <v>ｾﾝﾀｰ反ｾ側周上２ｶ所ﾌﾞﾛｰｱｳﾄ</v>
          </cell>
          <cell r="N70" t="str">
            <v>11.5J</v>
          </cell>
        </row>
        <row r="71">
          <cell r="A71" t="str">
            <v>T0937K6532</v>
          </cell>
          <cell r="B71">
            <v>35576</v>
          </cell>
          <cell r="C71" t="str">
            <v>7RSB001A</v>
          </cell>
          <cell r="D71">
            <v>329</v>
          </cell>
          <cell r="E71" t="str">
            <v>245/50R13</v>
          </cell>
          <cell r="F71" t="str">
            <v>RA21</v>
          </cell>
          <cell r="G71" t="str">
            <v>T0937K</v>
          </cell>
          <cell r="H71" t="str">
            <v>NN</v>
          </cell>
          <cell r="I71">
            <v>6532</v>
          </cell>
          <cell r="J71" t="str">
            <v>COMP'D=937</v>
          </cell>
          <cell r="K71" t="str">
            <v>FP1</v>
          </cell>
          <cell r="L71">
            <v>493</v>
          </cell>
          <cell r="M71" t="str">
            <v>ｾﾝﾀｰ反ｾ側周上１ｶ所ﾌﾞﾛｰｱｳﾄ</v>
          </cell>
          <cell r="N71" t="str">
            <v>11.5J</v>
          </cell>
        </row>
        <row r="72">
          <cell r="A72" t="str">
            <v>T0943K5888</v>
          </cell>
          <cell r="B72">
            <v>35576</v>
          </cell>
          <cell r="C72" t="str">
            <v>7RSB001A</v>
          </cell>
          <cell r="D72">
            <v>329</v>
          </cell>
          <cell r="E72" t="str">
            <v>245/50R13</v>
          </cell>
          <cell r="F72" t="str">
            <v>RA21</v>
          </cell>
          <cell r="G72" t="str">
            <v>T0943K</v>
          </cell>
          <cell r="H72" t="str">
            <v>NN</v>
          </cell>
          <cell r="I72">
            <v>5888</v>
          </cell>
          <cell r="J72" t="str">
            <v>COMP'D=943</v>
          </cell>
          <cell r="K72" t="str">
            <v>FP1</v>
          </cell>
          <cell r="L72">
            <v>471</v>
          </cell>
          <cell r="M72" t="str">
            <v>ｾﾝﾀｰ反ｾ側周上全周ﾌﾞﾛｰｱｳﾄ</v>
          </cell>
          <cell r="N72" t="str">
            <v>11.5J</v>
          </cell>
        </row>
        <row r="73">
          <cell r="A73" t="str">
            <v>T0966K6008</v>
          </cell>
          <cell r="B73">
            <v>35576</v>
          </cell>
          <cell r="C73" t="str">
            <v>7RSB001A</v>
          </cell>
          <cell r="D73">
            <v>329</v>
          </cell>
          <cell r="E73" t="str">
            <v>245/50R13</v>
          </cell>
          <cell r="F73" t="str">
            <v>RA21</v>
          </cell>
          <cell r="G73" t="str">
            <v>T0966K</v>
          </cell>
          <cell r="H73" t="str">
            <v>NN</v>
          </cell>
          <cell r="I73">
            <v>6008</v>
          </cell>
          <cell r="J73" t="str">
            <v>COMP'D=966</v>
          </cell>
          <cell r="K73" t="str">
            <v>FP1</v>
          </cell>
          <cell r="L73">
            <v>380</v>
          </cell>
          <cell r="M73" t="str">
            <v>ｾﾝﾀｰ反ｾ側周上１ｶ所ﾌﾞﾛｰｱｳﾄ</v>
          </cell>
          <cell r="N73" t="str">
            <v>11.5J</v>
          </cell>
        </row>
        <row r="74">
          <cell r="A74" t="str">
            <v>B0007K25299</v>
          </cell>
          <cell r="B74">
            <v>35579</v>
          </cell>
          <cell r="C74" t="str">
            <v>7RSB001A</v>
          </cell>
          <cell r="D74">
            <v>330</v>
          </cell>
          <cell r="E74" t="str">
            <v>245/50R13</v>
          </cell>
          <cell r="F74" t="str">
            <v>RA21</v>
          </cell>
          <cell r="G74" t="str">
            <v>B0007K</v>
          </cell>
          <cell r="H74" t="str">
            <v>NN</v>
          </cell>
          <cell r="I74">
            <v>25299</v>
          </cell>
          <cell r="J74" t="str">
            <v>RD7 T0127K</v>
          </cell>
          <cell r="K74" t="str">
            <v>F02</v>
          </cell>
          <cell r="L74">
            <v>412</v>
          </cell>
          <cell r="M74" t="str">
            <v>BES-&gt;1,2P間セパ-&gt;CBU,FLPｾﾊﾟ2mm</v>
          </cell>
          <cell r="N74" t="str">
            <v>11.5J</v>
          </cell>
        </row>
        <row r="75">
          <cell r="A75" t="str">
            <v>T0937K6535</v>
          </cell>
          <cell r="B75">
            <v>35579</v>
          </cell>
          <cell r="C75" t="str">
            <v>7RSB001A</v>
          </cell>
          <cell r="D75">
            <v>330</v>
          </cell>
          <cell r="E75" t="str">
            <v>245/50R13</v>
          </cell>
          <cell r="F75" t="str">
            <v>RA21</v>
          </cell>
          <cell r="G75" t="str">
            <v>T0937K</v>
          </cell>
          <cell r="H75" t="str">
            <v>NN</v>
          </cell>
          <cell r="I75">
            <v>6535</v>
          </cell>
          <cell r="J75" t="str">
            <v>M0改:TOPウスGa(4828)</v>
          </cell>
          <cell r="K75" t="str">
            <v>F02</v>
          </cell>
          <cell r="L75">
            <v>464</v>
          </cell>
          <cell r="M75" t="str">
            <v>BES -&gt;CBU3/4周,FLPｾﾊﾟok</v>
          </cell>
          <cell r="N75" t="str">
            <v>11.5J</v>
          </cell>
        </row>
        <row r="76">
          <cell r="A76" t="str">
            <v>B0937K81527</v>
          </cell>
          <cell r="B76">
            <v>35443</v>
          </cell>
          <cell r="C76" t="str">
            <v>6RSB001A</v>
          </cell>
          <cell r="D76">
            <v>332</v>
          </cell>
          <cell r="E76" t="str">
            <v>245/50R13</v>
          </cell>
          <cell r="F76" t="str">
            <v>RA21</v>
          </cell>
          <cell r="G76" t="str">
            <v>B0937K</v>
          </cell>
          <cell r="H76" t="str">
            <v>NN</v>
          </cell>
          <cell r="I76">
            <v>81527</v>
          </cell>
          <cell r="J76" t="str">
            <v>T0改:PLY22/22</v>
          </cell>
          <cell r="K76" t="str">
            <v>F02</v>
          </cell>
          <cell r="L76">
            <v>457</v>
          </cell>
          <cell r="M76" t="str">
            <v>CBU10cm</v>
          </cell>
          <cell r="N76" t="str">
            <v>11.5J</v>
          </cell>
        </row>
        <row r="77">
          <cell r="A77" t="str">
            <v>T0937KCCCCC</v>
          </cell>
          <cell r="B77">
            <v>35598</v>
          </cell>
          <cell r="C77" t="str">
            <v>7RSB001A</v>
          </cell>
          <cell r="D77">
            <v>332</v>
          </cell>
          <cell r="E77" t="str">
            <v>245/50R13</v>
          </cell>
          <cell r="F77" t="str">
            <v>RA21</v>
          </cell>
          <cell r="G77" t="str">
            <v>T0937K</v>
          </cell>
          <cell r="H77" t="str">
            <v>NN</v>
          </cell>
          <cell r="I77" t="str">
            <v>CCCCC</v>
          </cell>
          <cell r="J77" t="str">
            <v>703-4832</v>
          </cell>
          <cell r="K77" t="str">
            <v>FQ4</v>
          </cell>
          <cell r="L77">
            <v>451</v>
          </cell>
        </row>
        <row r="78">
          <cell r="A78" t="str">
            <v>T0937KMMMM</v>
          </cell>
          <cell r="B78">
            <v>35587</v>
          </cell>
          <cell r="C78" t="str">
            <v>7RSB001A</v>
          </cell>
          <cell r="D78">
            <v>332</v>
          </cell>
          <cell r="E78" t="str">
            <v>245/50R13</v>
          </cell>
          <cell r="F78" t="str">
            <v>RA21</v>
          </cell>
          <cell r="G78" t="str">
            <v>T0937K</v>
          </cell>
          <cell r="H78" t="str">
            <v>NN</v>
          </cell>
          <cell r="I78" t="str">
            <v>MMMM</v>
          </cell>
          <cell r="J78" t="str">
            <v>703-4828</v>
          </cell>
          <cell r="K78" t="str">
            <v>FQ4</v>
          </cell>
          <cell r="L78">
            <v>451</v>
          </cell>
          <cell r="N78" t="str">
            <v>11.5J</v>
          </cell>
        </row>
        <row r="79">
          <cell r="A79" t="str">
            <v>T0937K6510</v>
          </cell>
          <cell r="B79">
            <v>35587</v>
          </cell>
          <cell r="C79" t="str">
            <v>7RSB001A</v>
          </cell>
          <cell r="D79">
            <v>333</v>
          </cell>
          <cell r="E79" t="str">
            <v>245/50R13</v>
          </cell>
          <cell r="F79" t="str">
            <v>RA21</v>
          </cell>
          <cell r="G79" t="str">
            <v>T0937K</v>
          </cell>
          <cell r="H79" t="str">
            <v>NN</v>
          </cell>
          <cell r="I79">
            <v>6510</v>
          </cell>
          <cell r="J79" t="str">
            <v>703-4828:初期内圧1.0&amp;新条件640</v>
          </cell>
          <cell r="K79" t="str">
            <v>F11</v>
          </cell>
          <cell r="L79">
            <v>406</v>
          </cell>
          <cell r="M79" t="str">
            <v>BES,1,2P間セパ-&gt;CBU,FLPｾﾊﾟ2mm</v>
          </cell>
          <cell r="N79" t="str">
            <v>11.5J</v>
          </cell>
        </row>
        <row r="80">
          <cell r="A80" t="str">
            <v>T0937K6504</v>
          </cell>
          <cell r="B80">
            <v>35598</v>
          </cell>
          <cell r="C80" t="str">
            <v>7RSB001A</v>
          </cell>
          <cell r="D80">
            <v>334</v>
          </cell>
          <cell r="E80" t="str">
            <v>245/50R13</v>
          </cell>
          <cell r="F80" t="str">
            <v>RA21</v>
          </cell>
          <cell r="G80" t="str">
            <v>T0937K</v>
          </cell>
          <cell r="H80" t="str">
            <v>NN</v>
          </cell>
          <cell r="I80">
            <v>6504</v>
          </cell>
          <cell r="J80" t="str">
            <v>703-4828:LOAD=640</v>
          </cell>
          <cell r="K80" t="str">
            <v>FQ3</v>
          </cell>
          <cell r="L80">
            <v>357</v>
          </cell>
          <cell r="M80" t="str">
            <v>BES-&gt;CBU,FLP2mm</v>
          </cell>
          <cell r="N80" t="str">
            <v>11.5J</v>
          </cell>
        </row>
        <row r="81">
          <cell r="A81" t="str">
            <v>T0937K6547</v>
          </cell>
          <cell r="B81">
            <v>35598</v>
          </cell>
          <cell r="C81" t="str">
            <v>7RSB001A</v>
          </cell>
          <cell r="D81">
            <v>334</v>
          </cell>
          <cell r="E81" t="str">
            <v>245/50R13</v>
          </cell>
          <cell r="F81" t="str">
            <v>RA21</v>
          </cell>
          <cell r="G81" t="str">
            <v>T0937K</v>
          </cell>
          <cell r="H81" t="str">
            <v>NN</v>
          </cell>
          <cell r="I81">
            <v>6547</v>
          </cell>
          <cell r="J81" t="str">
            <v>703-4828:LOAD=640</v>
          </cell>
          <cell r="K81" t="str">
            <v>FQ3</v>
          </cell>
          <cell r="L81">
            <v>361</v>
          </cell>
          <cell r="M81" t="str">
            <v>BES-&gt;CBU,FLP2mm</v>
          </cell>
          <cell r="N81" t="str">
            <v>11.5J</v>
          </cell>
        </row>
        <row r="82">
          <cell r="A82" t="str">
            <v>T0937K6541</v>
          </cell>
          <cell r="B82">
            <v>35598</v>
          </cell>
          <cell r="C82" t="str">
            <v>7RSB001A</v>
          </cell>
          <cell r="D82">
            <v>334</v>
          </cell>
          <cell r="E82" t="str">
            <v>245/50R13</v>
          </cell>
          <cell r="F82" t="str">
            <v>RA21</v>
          </cell>
          <cell r="G82" t="str">
            <v>T0937K</v>
          </cell>
          <cell r="H82" t="str">
            <v>NN</v>
          </cell>
          <cell r="I82">
            <v>6541</v>
          </cell>
          <cell r="J82" t="str">
            <v>703-4828:LOAD=640</v>
          </cell>
          <cell r="K82" t="str">
            <v>FQ3</v>
          </cell>
          <cell r="L82">
            <v>347</v>
          </cell>
          <cell r="M82" t="str">
            <v>BES-&gt;CBU,FLP2mm</v>
          </cell>
          <cell r="N82" t="str">
            <v>11.5J</v>
          </cell>
        </row>
        <row r="83">
          <cell r="A83" t="str">
            <v>B0021K30075</v>
          </cell>
          <cell r="B83">
            <v>35591</v>
          </cell>
          <cell r="C83" t="str">
            <v>7RSB001A</v>
          </cell>
          <cell r="D83">
            <v>335</v>
          </cell>
          <cell r="E83" t="str">
            <v>245/50R13</v>
          </cell>
          <cell r="F83" t="str">
            <v>RA21</v>
          </cell>
          <cell r="G83" t="str">
            <v>B0021K</v>
          </cell>
          <cell r="H83" t="str">
            <v>NN</v>
          </cell>
          <cell r="I83">
            <v>30075</v>
          </cell>
          <cell r="J83" t="str">
            <v>RD8 T0185J</v>
          </cell>
          <cell r="K83" t="str">
            <v>F02</v>
          </cell>
          <cell r="L83">
            <v>440</v>
          </cell>
          <cell r="M83" t="str">
            <v>BES -&gt;CBU,FLPｾﾊﾟ5mm</v>
          </cell>
          <cell r="N83" t="str">
            <v>11.5J</v>
          </cell>
        </row>
        <row r="84">
          <cell r="A84" t="str">
            <v>T0937K6513</v>
          </cell>
          <cell r="B84">
            <v>35591</v>
          </cell>
          <cell r="C84" t="str">
            <v>7RSB001A</v>
          </cell>
          <cell r="D84">
            <v>335</v>
          </cell>
          <cell r="E84" t="str">
            <v>245/50R13</v>
          </cell>
          <cell r="F84" t="str">
            <v>RA21</v>
          </cell>
          <cell r="G84" t="str">
            <v>T0937K</v>
          </cell>
          <cell r="H84" t="str">
            <v>NN</v>
          </cell>
          <cell r="I84">
            <v>6513</v>
          </cell>
          <cell r="J84" t="str">
            <v>M0改:TOPウスGa(4828)</v>
          </cell>
          <cell r="K84" t="str">
            <v>F02</v>
          </cell>
          <cell r="L84">
            <v>510</v>
          </cell>
          <cell r="M84" t="str">
            <v>OK,FLPｾﾊﾟ2mm</v>
          </cell>
          <cell r="N84" t="str">
            <v>11.5J</v>
          </cell>
        </row>
        <row r="85">
          <cell r="A85" t="str">
            <v>B0021K33318</v>
          </cell>
          <cell r="B85">
            <v>35605</v>
          </cell>
          <cell r="C85" t="str">
            <v>7RSB001A</v>
          </cell>
          <cell r="D85">
            <v>336</v>
          </cell>
          <cell r="E85" t="str">
            <v>245/50R13</v>
          </cell>
          <cell r="F85" t="str">
            <v>RA21</v>
          </cell>
          <cell r="G85" t="str">
            <v>B0021K</v>
          </cell>
          <cell r="H85" t="str">
            <v>NN</v>
          </cell>
          <cell r="I85">
            <v>33318</v>
          </cell>
          <cell r="J85" t="str">
            <v>RD9 T0185K(BEG有）</v>
          </cell>
          <cell r="K85" t="str">
            <v>F02</v>
          </cell>
          <cell r="L85">
            <v>426</v>
          </cell>
          <cell r="M85" t="str">
            <v>BES-&gt;1,2P間セパ-&gt;CBU,FLPｾﾊﾟ1mm</v>
          </cell>
          <cell r="N85" t="str">
            <v>11.5J</v>
          </cell>
        </row>
        <row r="86">
          <cell r="A86" t="str">
            <v>B1051W30000</v>
          </cell>
          <cell r="B86">
            <v>35605</v>
          </cell>
          <cell r="C86" t="str">
            <v>7RSB001A</v>
          </cell>
          <cell r="D86">
            <v>336</v>
          </cell>
          <cell r="E86" t="str">
            <v>245/50R13</v>
          </cell>
          <cell r="F86" t="str">
            <v>WF03A</v>
          </cell>
          <cell r="G86" t="str">
            <v>B1051W</v>
          </cell>
          <cell r="H86" t="str">
            <v>NN</v>
          </cell>
          <cell r="I86">
            <v>30000</v>
          </cell>
          <cell r="J86" t="str">
            <v>RD9 R2894W</v>
          </cell>
          <cell r="K86" t="str">
            <v>F02</v>
          </cell>
          <cell r="L86">
            <v>494</v>
          </cell>
          <cell r="M86" t="str">
            <v>BES-&gt;1,2P間セパ-&gt;CBU,FLPｾﾊﾟ1mm</v>
          </cell>
          <cell r="N86" t="str">
            <v>11.5J</v>
          </cell>
        </row>
        <row r="87">
          <cell r="A87" t="str">
            <v>T0937K6526</v>
          </cell>
          <cell r="B87">
            <v>35605</v>
          </cell>
          <cell r="C87" t="str">
            <v>7RSB001A</v>
          </cell>
          <cell r="D87">
            <v>336</v>
          </cell>
          <cell r="E87" t="str">
            <v>245/50R13</v>
          </cell>
          <cell r="F87" t="str">
            <v>RA21</v>
          </cell>
          <cell r="G87" t="str">
            <v>T0937K</v>
          </cell>
          <cell r="H87" t="str">
            <v>NN</v>
          </cell>
          <cell r="I87">
            <v>6526</v>
          </cell>
          <cell r="J87" t="str">
            <v>M0改:TOPウスGa(4828)</v>
          </cell>
          <cell r="K87" t="str">
            <v>F02</v>
          </cell>
          <cell r="L87">
            <v>469</v>
          </cell>
          <cell r="M87" t="str">
            <v>BES -&gt;CBU,FLPｾﾊﾟ1mm</v>
          </cell>
          <cell r="N87" t="str">
            <v>11.5J</v>
          </cell>
        </row>
        <row r="88">
          <cell r="A88" t="str">
            <v>Z0937K32936</v>
          </cell>
          <cell r="B88">
            <v>35605</v>
          </cell>
          <cell r="C88" t="str">
            <v>7RSB001A</v>
          </cell>
          <cell r="D88">
            <v>336</v>
          </cell>
          <cell r="E88" t="str">
            <v>245/50R13</v>
          </cell>
          <cell r="F88" t="str">
            <v>RA21</v>
          </cell>
          <cell r="G88" t="str">
            <v>Z0937K</v>
          </cell>
          <cell r="H88" t="str">
            <v>NN</v>
          </cell>
          <cell r="I88">
            <v>32936</v>
          </cell>
          <cell r="J88" t="str">
            <v>BEG無</v>
          </cell>
          <cell r="K88" t="str">
            <v>F02</v>
          </cell>
          <cell r="L88">
            <v>472</v>
          </cell>
          <cell r="M88" t="str">
            <v>BES -&gt;CBU,FLPｾﾊﾟ1mm</v>
          </cell>
          <cell r="N88" t="str">
            <v>11.5J</v>
          </cell>
        </row>
        <row r="89">
          <cell r="A89" t="str">
            <v>Z0937K32946</v>
          </cell>
          <cell r="B89">
            <v>35605</v>
          </cell>
          <cell r="C89" t="str">
            <v>7RSB001A</v>
          </cell>
          <cell r="D89">
            <v>336</v>
          </cell>
          <cell r="E89" t="str">
            <v>245/50R13</v>
          </cell>
          <cell r="F89" t="str">
            <v>RA21</v>
          </cell>
          <cell r="G89" t="str">
            <v>Z0937K</v>
          </cell>
          <cell r="H89" t="str">
            <v>NN</v>
          </cell>
          <cell r="I89">
            <v>32946</v>
          </cell>
          <cell r="J89" t="str">
            <v>BEG無,1B+5</v>
          </cell>
          <cell r="K89" t="str">
            <v>F02</v>
          </cell>
          <cell r="L89">
            <v>510</v>
          </cell>
          <cell r="M89" t="str">
            <v>OK,FLPｾﾊﾟ5mm</v>
          </cell>
          <cell r="N89" t="str">
            <v>11.5J</v>
          </cell>
        </row>
        <row r="90">
          <cell r="A90" t="str">
            <v>K0156K35945</v>
          </cell>
          <cell r="B90">
            <v>35619</v>
          </cell>
          <cell r="C90" t="str">
            <v>7RSB001A</v>
          </cell>
          <cell r="D90">
            <v>339</v>
          </cell>
          <cell r="E90" t="str">
            <v>245/50R13</v>
          </cell>
          <cell r="F90" t="str">
            <v>RA21</v>
          </cell>
          <cell r="G90" t="str">
            <v>K0156K</v>
          </cell>
          <cell r="H90" t="str">
            <v>NN</v>
          </cell>
          <cell r="I90">
            <v>35945</v>
          </cell>
          <cell r="J90" t="str">
            <v>T0改:top gauge 3.0mm</v>
          </cell>
          <cell r="K90" t="str">
            <v>F02</v>
          </cell>
          <cell r="L90">
            <v>442</v>
          </cell>
          <cell r="M90" t="str">
            <v>OK,FLPｾﾊﾟ1mm(自動停止）</v>
          </cell>
          <cell r="N90" t="str">
            <v>11.5J</v>
          </cell>
        </row>
        <row r="91">
          <cell r="A91" t="str">
            <v>K0156K35945</v>
          </cell>
          <cell r="B91">
            <v>35619</v>
          </cell>
          <cell r="C91" t="str">
            <v>7RSB001A</v>
          </cell>
          <cell r="D91">
            <v>339</v>
          </cell>
          <cell r="E91" t="str">
            <v>245/50R13</v>
          </cell>
          <cell r="F91" t="str">
            <v>RA21</v>
          </cell>
          <cell r="G91" t="str">
            <v>K0156K</v>
          </cell>
          <cell r="H91" t="str">
            <v>NN</v>
          </cell>
          <cell r="I91">
            <v>35945</v>
          </cell>
          <cell r="J91" t="str">
            <v>T0改:TOPウスGa(4811)</v>
          </cell>
          <cell r="K91" t="str">
            <v>F02</v>
          </cell>
          <cell r="L91">
            <v>442</v>
          </cell>
          <cell r="M91" t="str">
            <v>OK.FLP1mmｾﾊﾟのみ/DRUM STOP</v>
          </cell>
          <cell r="N91" t="str">
            <v>11.5J</v>
          </cell>
        </row>
        <row r="92">
          <cell r="A92" t="str">
            <v>T0937K6527</v>
          </cell>
          <cell r="B92">
            <v>35619</v>
          </cell>
          <cell r="C92" t="str">
            <v>7RSB001A</v>
          </cell>
          <cell r="D92">
            <v>339</v>
          </cell>
          <cell r="E92" t="str">
            <v>245/50R13</v>
          </cell>
          <cell r="F92" t="str">
            <v>RA21</v>
          </cell>
          <cell r="G92" t="str">
            <v>T0937K</v>
          </cell>
          <cell r="H92" t="str">
            <v>NN</v>
          </cell>
          <cell r="I92">
            <v>6527</v>
          </cell>
          <cell r="J92" t="str">
            <v>M0改:TOPウスGa(4828)</v>
          </cell>
          <cell r="K92" t="str">
            <v>F02</v>
          </cell>
          <cell r="L92">
            <v>435</v>
          </cell>
          <cell r="M92" t="str">
            <v>BES -&gt;CBU,FLPｾﾊﾟ5mm</v>
          </cell>
          <cell r="N92" t="str">
            <v>11.5J</v>
          </cell>
        </row>
        <row r="93">
          <cell r="A93" t="str">
            <v>T0937K6527</v>
          </cell>
          <cell r="B93">
            <v>35619</v>
          </cell>
          <cell r="C93" t="str">
            <v>7RSB001A</v>
          </cell>
          <cell r="D93">
            <v>339</v>
          </cell>
          <cell r="E93" t="str">
            <v>245/50R13</v>
          </cell>
          <cell r="F93" t="str">
            <v>RA21</v>
          </cell>
          <cell r="G93" t="str">
            <v>T0937K</v>
          </cell>
          <cell r="H93" t="str">
            <v>NN</v>
          </cell>
          <cell r="I93">
            <v>6527</v>
          </cell>
          <cell r="J93" t="str">
            <v>M0改:TOPウスGa(4828)</v>
          </cell>
          <cell r="K93" t="str">
            <v>F02</v>
          </cell>
          <cell r="L93">
            <v>435</v>
          </cell>
          <cell r="M93" t="str">
            <v>BES -&gt;CBU,FLPｾﾊﾟ5mm</v>
          </cell>
          <cell r="N93" t="str">
            <v>11.5J</v>
          </cell>
        </row>
        <row r="94">
          <cell r="A94" t="str">
            <v>Z0946C31342</v>
          </cell>
          <cell r="B94">
            <v>35619</v>
          </cell>
          <cell r="C94" t="str">
            <v>7RSB001A</v>
          </cell>
          <cell r="D94">
            <v>339</v>
          </cell>
          <cell r="E94" t="str">
            <v>245/55R13</v>
          </cell>
          <cell r="F94" t="str">
            <v>RA21</v>
          </cell>
          <cell r="G94" t="str">
            <v>Z0946C</v>
          </cell>
          <cell r="H94" t="str">
            <v>NN</v>
          </cell>
          <cell r="I94">
            <v>31342</v>
          </cell>
          <cell r="J94" t="str">
            <v>T0改:大径+DP10</v>
          </cell>
          <cell r="K94" t="str">
            <v>F02</v>
          </cell>
          <cell r="L94">
            <v>403</v>
          </cell>
          <cell r="M94" t="str">
            <v>OK,FLPｾﾊﾟ1mm(自動停止）</v>
          </cell>
          <cell r="N94" t="str">
            <v>11.5J</v>
          </cell>
        </row>
        <row r="95">
          <cell r="A95" t="str">
            <v>Z0946C31342</v>
          </cell>
          <cell r="B95">
            <v>35619</v>
          </cell>
          <cell r="C95" t="str">
            <v>7RSB001A</v>
          </cell>
          <cell r="D95">
            <v>339</v>
          </cell>
          <cell r="E95" t="str">
            <v>245/55R13</v>
          </cell>
          <cell r="F95" t="str">
            <v>RA21</v>
          </cell>
          <cell r="G95" t="str">
            <v>Z0946C</v>
          </cell>
          <cell r="H95" t="str">
            <v>NN</v>
          </cell>
          <cell r="I95">
            <v>31342</v>
          </cell>
          <cell r="J95" t="str">
            <v>"K"改:大径&amp;DP10</v>
          </cell>
          <cell r="K95" t="str">
            <v>F02</v>
          </cell>
          <cell r="L95">
            <v>403</v>
          </cell>
          <cell r="M95" t="str">
            <v>OK.FLP1mmｾﾊﾟのみ/DRUM STOP</v>
          </cell>
          <cell r="N95" t="str">
            <v>11.5J</v>
          </cell>
        </row>
        <row r="96">
          <cell r="A96" t="str">
            <v>Z0946D31350</v>
          </cell>
          <cell r="B96">
            <v>35619</v>
          </cell>
          <cell r="C96" t="str">
            <v>7RSB001A</v>
          </cell>
          <cell r="D96">
            <v>339</v>
          </cell>
          <cell r="E96" t="str">
            <v>245/55R13</v>
          </cell>
          <cell r="F96" t="str">
            <v>RA21</v>
          </cell>
          <cell r="G96" t="str">
            <v>Z0946D</v>
          </cell>
          <cell r="H96" t="str">
            <v>NN</v>
          </cell>
          <cell r="I96">
            <v>31350</v>
          </cell>
          <cell r="J96" t="str">
            <v>T0改:大径+DP20</v>
          </cell>
          <cell r="K96" t="str">
            <v>F02</v>
          </cell>
          <cell r="L96">
            <v>441</v>
          </cell>
          <cell r="M96" t="str">
            <v>OK,FLPｾﾊﾟ1mm(自動停止）</v>
          </cell>
          <cell r="N96" t="str">
            <v>11.5J</v>
          </cell>
        </row>
        <row r="97">
          <cell r="A97" t="str">
            <v>Z0946D31350</v>
          </cell>
          <cell r="B97">
            <v>35619</v>
          </cell>
          <cell r="C97" t="str">
            <v>7RSB001A</v>
          </cell>
          <cell r="D97">
            <v>339</v>
          </cell>
          <cell r="E97" t="str">
            <v>245/55R13</v>
          </cell>
          <cell r="F97" t="str">
            <v>RA21</v>
          </cell>
          <cell r="G97" t="str">
            <v>Z0946D</v>
          </cell>
          <cell r="H97" t="str">
            <v>NN</v>
          </cell>
          <cell r="I97">
            <v>31350</v>
          </cell>
          <cell r="J97" t="str">
            <v>"K"改:大径&amp;DP20</v>
          </cell>
          <cell r="K97" t="str">
            <v>F02</v>
          </cell>
          <cell r="L97">
            <v>441</v>
          </cell>
          <cell r="M97" t="str">
            <v>OK.FLP1mmｾﾊﾟのみ/DRUM STOP</v>
          </cell>
          <cell r="N97" t="str">
            <v>11.5J</v>
          </cell>
        </row>
        <row r="98">
          <cell r="A98" t="str">
            <v>Z0946L31277</v>
          </cell>
          <cell r="B98">
            <v>35619</v>
          </cell>
          <cell r="C98" t="str">
            <v>7RSB001A</v>
          </cell>
          <cell r="D98">
            <v>339</v>
          </cell>
          <cell r="E98" t="str">
            <v>245/55R13</v>
          </cell>
          <cell r="F98" t="str">
            <v>RA21</v>
          </cell>
          <cell r="G98" t="str">
            <v>Z0946L</v>
          </cell>
          <cell r="H98" t="str">
            <v>NN</v>
          </cell>
          <cell r="I98">
            <v>31277</v>
          </cell>
          <cell r="J98" t="str">
            <v>T0改:大径</v>
          </cell>
          <cell r="K98" t="str">
            <v>F02</v>
          </cell>
          <cell r="L98">
            <v>447</v>
          </cell>
          <cell r="M98" t="str">
            <v>OK,FLPｾﾊﾟ1mm(自動停止）</v>
          </cell>
          <cell r="N98" t="str">
            <v>11.5J</v>
          </cell>
        </row>
        <row r="99">
          <cell r="A99" t="str">
            <v>Z0946L31277</v>
          </cell>
          <cell r="B99">
            <v>35619</v>
          </cell>
          <cell r="C99" t="str">
            <v>7RSB001A</v>
          </cell>
          <cell r="D99">
            <v>339</v>
          </cell>
          <cell r="E99" t="str">
            <v>245/55R13</v>
          </cell>
          <cell r="F99" t="str">
            <v>RA21</v>
          </cell>
          <cell r="G99" t="str">
            <v>Z0946L</v>
          </cell>
          <cell r="H99" t="str">
            <v>NN</v>
          </cell>
          <cell r="I99">
            <v>31277</v>
          </cell>
          <cell r="J99" t="str">
            <v>"K"改:大径</v>
          </cell>
          <cell r="K99" t="str">
            <v>F02</v>
          </cell>
          <cell r="L99">
            <v>447</v>
          </cell>
          <cell r="M99" t="str">
            <v>OK.FLP1mmｾﾊﾟのみ/DRUM STOP</v>
          </cell>
          <cell r="N99" t="str">
            <v>11.5J</v>
          </cell>
        </row>
        <row r="100">
          <cell r="A100" t="str">
            <v>B0021K37329</v>
          </cell>
          <cell r="B100">
            <v>35627</v>
          </cell>
          <cell r="C100" t="str">
            <v>7RSB001A</v>
          </cell>
          <cell r="D100">
            <v>340</v>
          </cell>
          <cell r="E100" t="str">
            <v>245/50R13</v>
          </cell>
          <cell r="F100" t="str">
            <v>RA21</v>
          </cell>
          <cell r="G100" t="str">
            <v>B0021K</v>
          </cell>
          <cell r="H100" t="str">
            <v>NN</v>
          </cell>
          <cell r="I100">
            <v>37329</v>
          </cell>
          <cell r="J100" t="str">
            <v>RD10:T0185K-NN</v>
          </cell>
          <cell r="K100" t="str">
            <v>F02</v>
          </cell>
          <cell r="L100">
            <v>434</v>
          </cell>
          <cell r="N100" t="str">
            <v>11.5J</v>
          </cell>
        </row>
        <row r="101">
          <cell r="A101" t="str">
            <v>B0021K37329</v>
          </cell>
          <cell r="B101">
            <v>35627</v>
          </cell>
          <cell r="C101" t="str">
            <v>7RSB001A</v>
          </cell>
          <cell r="D101">
            <v>340</v>
          </cell>
          <cell r="E101" t="str">
            <v>245/50R13</v>
          </cell>
          <cell r="F101" t="str">
            <v>RA21</v>
          </cell>
          <cell r="G101" t="str">
            <v>B0021K</v>
          </cell>
          <cell r="H101" t="str">
            <v>NN</v>
          </cell>
          <cell r="I101">
            <v>37329</v>
          </cell>
          <cell r="J101" t="str">
            <v>RD10:T0185K-NN</v>
          </cell>
          <cell r="K101" t="str">
            <v>F02</v>
          </cell>
          <cell r="L101">
            <v>434</v>
          </cell>
          <cell r="M101" t="str">
            <v>3/4CBU,1/4BES,FLP1mm</v>
          </cell>
          <cell r="N101" t="str">
            <v>11.5J</v>
          </cell>
        </row>
        <row r="102">
          <cell r="A102" t="str">
            <v>Z0937K32942</v>
          </cell>
          <cell r="B102">
            <v>35627</v>
          </cell>
          <cell r="C102" t="str">
            <v>7RSB001A</v>
          </cell>
          <cell r="D102">
            <v>340</v>
          </cell>
          <cell r="E102" t="str">
            <v>245/50R13</v>
          </cell>
          <cell r="F102" t="str">
            <v>RA21</v>
          </cell>
          <cell r="G102" t="str">
            <v>Z0937K</v>
          </cell>
          <cell r="H102" t="str">
            <v>NN</v>
          </cell>
          <cell r="I102">
            <v>32942</v>
          </cell>
          <cell r="J102" t="str">
            <v>T0改:BEG無</v>
          </cell>
          <cell r="K102" t="str">
            <v>F02</v>
          </cell>
          <cell r="L102">
            <v>441</v>
          </cell>
          <cell r="N102" t="str">
            <v>11.5J</v>
          </cell>
        </row>
        <row r="103">
          <cell r="A103" t="str">
            <v>Z0937K32947</v>
          </cell>
          <cell r="B103">
            <v>35627</v>
          </cell>
          <cell r="C103" t="str">
            <v>7RSB001A</v>
          </cell>
          <cell r="D103">
            <v>340</v>
          </cell>
          <cell r="E103" t="str">
            <v>245/50R13</v>
          </cell>
          <cell r="F103" t="str">
            <v>RA21</v>
          </cell>
          <cell r="G103" t="str">
            <v>Z0937K</v>
          </cell>
          <cell r="H103" t="str">
            <v>NN</v>
          </cell>
          <cell r="I103">
            <v>32947</v>
          </cell>
          <cell r="J103" t="str">
            <v>T0改:BEG無,1B+5</v>
          </cell>
          <cell r="K103" t="str">
            <v>F02</v>
          </cell>
          <cell r="L103">
            <v>491</v>
          </cell>
          <cell r="N103" t="str">
            <v>11.5J</v>
          </cell>
        </row>
        <row r="104">
          <cell r="A104" t="str">
            <v>Z0937K32942</v>
          </cell>
          <cell r="B104">
            <v>35627</v>
          </cell>
          <cell r="C104" t="str">
            <v>7RSB001A</v>
          </cell>
          <cell r="D104">
            <v>340</v>
          </cell>
          <cell r="E104" t="str">
            <v>245/50R13</v>
          </cell>
          <cell r="F104" t="str">
            <v>RA21</v>
          </cell>
          <cell r="G104" t="str">
            <v>Z0937K</v>
          </cell>
          <cell r="H104" t="str">
            <v>NN</v>
          </cell>
          <cell r="I104">
            <v>32942</v>
          </cell>
          <cell r="J104" t="str">
            <v>T0改:BEG無</v>
          </cell>
          <cell r="K104" t="str">
            <v>F02</v>
          </cell>
          <cell r="L104">
            <v>441</v>
          </cell>
          <cell r="M104" t="str">
            <v>BES-&gt;CBU,FLP3mm</v>
          </cell>
          <cell r="N104" t="str">
            <v>11.5J</v>
          </cell>
        </row>
        <row r="105">
          <cell r="A105" t="str">
            <v>Z0937K32947</v>
          </cell>
          <cell r="B105">
            <v>35627</v>
          </cell>
          <cell r="C105" t="str">
            <v>7RSB001A</v>
          </cell>
          <cell r="D105">
            <v>340</v>
          </cell>
          <cell r="E105" t="str">
            <v>245/50R13</v>
          </cell>
          <cell r="F105" t="str">
            <v>RA21</v>
          </cell>
          <cell r="G105" t="str">
            <v>Z0937K</v>
          </cell>
          <cell r="H105" t="str">
            <v>B1</v>
          </cell>
          <cell r="I105">
            <v>32947</v>
          </cell>
          <cell r="J105" t="str">
            <v>T0改:BEG無＆1B+5</v>
          </cell>
          <cell r="K105" t="str">
            <v>F02</v>
          </cell>
          <cell r="L105">
            <v>491</v>
          </cell>
          <cell r="M105" t="str">
            <v>1/2周1-2P間ｾﾊﾟ-&gt;2PCBU,3/4周BES,FLP10mm全周</v>
          </cell>
          <cell r="N105" t="str">
            <v>11.5J</v>
          </cell>
        </row>
        <row r="106">
          <cell r="A106" t="str">
            <v>B0029K42356</v>
          </cell>
          <cell r="B106">
            <v>35650</v>
          </cell>
          <cell r="C106" t="str">
            <v>7RSB001A</v>
          </cell>
          <cell r="D106">
            <v>342</v>
          </cell>
          <cell r="E106" t="str">
            <v>245/50R13</v>
          </cell>
          <cell r="F106" t="str">
            <v>RA21</v>
          </cell>
          <cell r="G106" t="str">
            <v>B0029K</v>
          </cell>
          <cell r="H106" t="str">
            <v>NN</v>
          </cell>
          <cell r="I106">
            <v>42356</v>
          </cell>
          <cell r="J106" t="str">
            <v>RD11:T0126K-NN</v>
          </cell>
          <cell r="K106" t="str">
            <v>F02</v>
          </cell>
          <cell r="L106">
            <v>423</v>
          </cell>
          <cell r="M106" t="str">
            <v>BES,1,2P間セパ-&gt;CBU,FLPｾﾊﾟ2mm</v>
          </cell>
          <cell r="N106" t="str">
            <v>11.5J</v>
          </cell>
        </row>
        <row r="107">
          <cell r="A107" t="str">
            <v>Z0937K32930</v>
          </cell>
          <cell r="B107">
            <v>35650</v>
          </cell>
          <cell r="C107" t="str">
            <v>7RSB001A</v>
          </cell>
          <cell r="D107">
            <v>342</v>
          </cell>
          <cell r="E107" t="str">
            <v>245/50R13</v>
          </cell>
          <cell r="F107" t="str">
            <v>RA21</v>
          </cell>
          <cell r="G107" t="str">
            <v>Z0937K</v>
          </cell>
          <cell r="H107" t="str">
            <v>NN</v>
          </cell>
          <cell r="I107">
            <v>32930</v>
          </cell>
          <cell r="J107" t="str">
            <v>T0改:BEG無</v>
          </cell>
          <cell r="K107" t="str">
            <v>F02</v>
          </cell>
          <cell r="L107">
            <v>473</v>
          </cell>
          <cell r="M107" t="str">
            <v>BES -&gt;CBU,FLPｾﾊﾟ大</v>
          </cell>
          <cell r="N107" t="str">
            <v>11.5J</v>
          </cell>
        </row>
        <row r="108">
          <cell r="A108" t="str">
            <v>Z0937K32934</v>
          </cell>
          <cell r="B108">
            <v>35675</v>
          </cell>
          <cell r="C108" t="str">
            <v>7RSB001A</v>
          </cell>
          <cell r="D108">
            <v>343</v>
          </cell>
          <cell r="E108" t="str">
            <v>245/50R13</v>
          </cell>
          <cell r="F108" t="str">
            <v>RA21</v>
          </cell>
          <cell r="G108" t="str">
            <v>Z0937K</v>
          </cell>
          <cell r="H108" t="str">
            <v>NN</v>
          </cell>
          <cell r="I108">
            <v>32934</v>
          </cell>
          <cell r="J108" t="str">
            <v>T0改:BEG無(4856)</v>
          </cell>
          <cell r="K108" t="str">
            <v>F02</v>
          </cell>
          <cell r="L108">
            <v>493</v>
          </cell>
          <cell r="M108" t="str">
            <v>BES,1,2P間セパ-&gt;CBU,FLPｾﾊﾟ2mm</v>
          </cell>
          <cell r="N108" t="str">
            <v>11.5J</v>
          </cell>
        </row>
        <row r="109">
          <cell r="A109" t="str">
            <v>B0021K44344</v>
          </cell>
          <cell r="B109">
            <v>35675</v>
          </cell>
          <cell r="C109" t="str">
            <v>7RSB001A</v>
          </cell>
          <cell r="D109">
            <v>343</v>
          </cell>
          <cell r="E109" t="str">
            <v>245/50R13</v>
          </cell>
          <cell r="F109" t="str">
            <v>RA21</v>
          </cell>
          <cell r="G109" t="str">
            <v>B0021K</v>
          </cell>
          <cell r="H109" t="str">
            <v>NN</v>
          </cell>
          <cell r="I109">
            <v>44344</v>
          </cell>
          <cell r="J109" t="str">
            <v>RD12:T0185K-NN</v>
          </cell>
          <cell r="K109" t="str">
            <v>F02</v>
          </cell>
          <cell r="L109">
            <v>472</v>
          </cell>
          <cell r="M109" t="str">
            <v>BES,1,2P間セパ-&gt;CBU,FLPｾﾊﾟ大</v>
          </cell>
          <cell r="N109" t="str">
            <v>11.5J</v>
          </cell>
        </row>
        <row r="110">
          <cell r="A110" t="str">
            <v>Z0937K32939</v>
          </cell>
          <cell r="B110">
            <v>35676</v>
          </cell>
          <cell r="C110" t="str">
            <v>7RSB001A</v>
          </cell>
          <cell r="D110">
            <v>344</v>
          </cell>
          <cell r="E110" t="str">
            <v>245/50R13</v>
          </cell>
          <cell r="F110" t="str">
            <v>RA21</v>
          </cell>
          <cell r="G110" t="str">
            <v>Z0937K</v>
          </cell>
          <cell r="H110" t="str">
            <v>NN</v>
          </cell>
          <cell r="I110">
            <v>32939</v>
          </cell>
          <cell r="J110" t="str">
            <v>T0改:BEG無(4856)</v>
          </cell>
          <cell r="K110" t="str">
            <v>F02</v>
          </cell>
          <cell r="L110">
            <v>478</v>
          </cell>
          <cell r="M110" t="str">
            <v>1-2P間ｾﾊﾟ-&gt;CBU</v>
          </cell>
          <cell r="N110" t="str">
            <v>11.5J</v>
          </cell>
        </row>
        <row r="111">
          <cell r="A111" t="str">
            <v>B0017K48156</v>
          </cell>
          <cell r="B111">
            <v>35676</v>
          </cell>
          <cell r="C111" t="str">
            <v>7RSB001A</v>
          </cell>
          <cell r="D111">
            <v>344</v>
          </cell>
          <cell r="E111" t="str">
            <v>245/50R13</v>
          </cell>
          <cell r="F111" t="str">
            <v>RA21</v>
          </cell>
          <cell r="G111" t="str">
            <v>B0017K</v>
          </cell>
          <cell r="H111" t="str">
            <v>NN</v>
          </cell>
          <cell r="I111">
            <v>48156</v>
          </cell>
          <cell r="J111" t="str">
            <v>R13:T0129K-NN</v>
          </cell>
          <cell r="K111" t="str">
            <v>F02</v>
          </cell>
          <cell r="L111">
            <v>424</v>
          </cell>
          <cell r="M111" t="str">
            <v>1-2P間ｾﾊﾟ-&gt;CBU</v>
          </cell>
          <cell r="N111" t="str">
            <v>11.5J</v>
          </cell>
        </row>
        <row r="112">
          <cell r="A112" t="str">
            <v>K0185K49542</v>
          </cell>
          <cell r="B112">
            <v>35676</v>
          </cell>
          <cell r="C112" t="str">
            <v>7RSB001A</v>
          </cell>
          <cell r="D112">
            <v>344</v>
          </cell>
          <cell r="E112" t="str">
            <v>245/50R13</v>
          </cell>
          <cell r="F112" t="str">
            <v>RA21</v>
          </cell>
          <cell r="G112" t="str">
            <v>K0185K</v>
          </cell>
          <cell r="H112" t="str">
            <v>NN</v>
          </cell>
          <cell r="I112">
            <v>49542</v>
          </cell>
          <cell r="J112" t="str">
            <v>9/9:SILV.S TEST</v>
          </cell>
          <cell r="K112" t="str">
            <v>F02</v>
          </cell>
          <cell r="L112">
            <v>479</v>
          </cell>
          <cell r="M112" t="str">
            <v>1-2P間ｾﾊﾟ-&gt;CBU</v>
          </cell>
          <cell r="N112" t="str">
            <v>11.5J</v>
          </cell>
        </row>
        <row r="113">
          <cell r="A113" t="str">
            <v>B0005K53700</v>
          </cell>
          <cell r="B113">
            <v>35681</v>
          </cell>
          <cell r="C113" t="str">
            <v>7RSB001A</v>
          </cell>
          <cell r="D113">
            <v>347</v>
          </cell>
          <cell r="E113" t="str">
            <v>245/50R13</v>
          </cell>
          <cell r="F113" t="str">
            <v>RA21</v>
          </cell>
          <cell r="G113" t="str">
            <v>B0005K</v>
          </cell>
          <cell r="H113" t="str">
            <v>NN</v>
          </cell>
          <cell r="I113">
            <v>53700</v>
          </cell>
          <cell r="J113" t="str">
            <v>T0129K-NN</v>
          </cell>
          <cell r="K113" t="str">
            <v>F02</v>
          </cell>
          <cell r="L113">
            <v>452</v>
          </cell>
          <cell r="M113" t="str">
            <v>BES-&gt;CBU</v>
          </cell>
          <cell r="N113" t="str">
            <v>11.5J</v>
          </cell>
        </row>
        <row r="114">
          <cell r="A114" t="str">
            <v>B0035K53565</v>
          </cell>
          <cell r="B114">
            <v>35681</v>
          </cell>
          <cell r="C114" t="str">
            <v>7RSB001A</v>
          </cell>
          <cell r="D114">
            <v>347</v>
          </cell>
          <cell r="E114" t="str">
            <v>245/50R13</v>
          </cell>
          <cell r="F114" t="str">
            <v>RA21</v>
          </cell>
          <cell r="G114" t="str">
            <v>B0035K</v>
          </cell>
          <cell r="H114" t="str">
            <v>NN</v>
          </cell>
          <cell r="I114">
            <v>53565</v>
          </cell>
          <cell r="J114" t="str">
            <v>K0171K-NN</v>
          </cell>
          <cell r="K114" t="str">
            <v>F02</v>
          </cell>
          <cell r="L114">
            <v>421</v>
          </cell>
          <cell r="M114" t="str">
            <v>BES-&gt;CBU</v>
          </cell>
          <cell r="N114" t="str">
            <v>11.5J</v>
          </cell>
        </row>
        <row r="115">
          <cell r="A115" t="str">
            <v>Z0937K32941</v>
          </cell>
          <cell r="B115">
            <v>35681</v>
          </cell>
          <cell r="C115" t="str">
            <v>7RSB001A</v>
          </cell>
          <cell r="D115">
            <v>348</v>
          </cell>
          <cell r="E115" t="str">
            <v>245/50R13</v>
          </cell>
          <cell r="F115" t="str">
            <v>RA21</v>
          </cell>
          <cell r="G115" t="str">
            <v>Z0937K</v>
          </cell>
          <cell r="H115" t="str">
            <v>NN</v>
          </cell>
          <cell r="I115">
            <v>32941</v>
          </cell>
          <cell r="J115" t="str">
            <v>T0改:BEG無</v>
          </cell>
          <cell r="K115" t="str">
            <v>F02</v>
          </cell>
          <cell r="L115">
            <v>451</v>
          </cell>
          <cell r="M115" t="str">
            <v>BES-&gt;CBU</v>
          </cell>
          <cell r="N115" t="str">
            <v>11.5J</v>
          </cell>
        </row>
        <row r="116">
          <cell r="A116" t="str">
            <v>B0037K56030</v>
          </cell>
          <cell r="B116">
            <v>35681</v>
          </cell>
          <cell r="C116" t="str">
            <v>7RSB001A</v>
          </cell>
          <cell r="D116">
            <v>348</v>
          </cell>
          <cell r="E116" t="str">
            <v>245/50R13</v>
          </cell>
          <cell r="F116" t="str">
            <v>RA21</v>
          </cell>
          <cell r="G116" t="str">
            <v>B0037K</v>
          </cell>
          <cell r="H116" t="str">
            <v>NN</v>
          </cell>
          <cell r="I116">
            <v>56030</v>
          </cell>
          <cell r="J116" t="str">
            <v>T0331K-NN</v>
          </cell>
          <cell r="K116" t="str">
            <v>F02</v>
          </cell>
          <cell r="L116">
            <v>392</v>
          </cell>
          <cell r="M116" t="str">
            <v>BES-&gt;CBU</v>
          </cell>
          <cell r="N116" t="str">
            <v>11.5J</v>
          </cell>
        </row>
        <row r="117">
          <cell r="A117" t="str">
            <v>B0043K60936</v>
          </cell>
          <cell r="B117">
            <v>35681</v>
          </cell>
          <cell r="C117" t="str">
            <v>7RSB001A</v>
          </cell>
          <cell r="D117">
            <v>350</v>
          </cell>
          <cell r="E117" t="str">
            <v>245/50R13</v>
          </cell>
          <cell r="F117" t="str">
            <v>RA21</v>
          </cell>
          <cell r="G117" t="str">
            <v>B0043K</v>
          </cell>
          <cell r="H117" t="str">
            <v>NN</v>
          </cell>
          <cell r="I117">
            <v>60936</v>
          </cell>
          <cell r="J117" t="str">
            <v>T0355K-NN</v>
          </cell>
          <cell r="K117" t="str">
            <v>F02</v>
          </cell>
          <cell r="L117">
            <v>421</v>
          </cell>
          <cell r="M117" t="str">
            <v>BES-&gt;CBU</v>
          </cell>
          <cell r="N117" t="str">
            <v>11.5J</v>
          </cell>
        </row>
        <row r="118">
          <cell r="A118" t="str">
            <v>B0043K60930</v>
          </cell>
          <cell r="B118">
            <v>35681</v>
          </cell>
          <cell r="C118" t="str">
            <v>7RSB001A</v>
          </cell>
          <cell r="D118">
            <v>350</v>
          </cell>
          <cell r="E118" t="str">
            <v>245/50R13</v>
          </cell>
          <cell r="F118" t="str">
            <v>RA21</v>
          </cell>
          <cell r="G118" t="str">
            <v>B0043K</v>
          </cell>
          <cell r="H118" t="str">
            <v>NN</v>
          </cell>
          <cell r="I118">
            <v>60930</v>
          </cell>
          <cell r="J118" t="str">
            <v>T0355K-NN</v>
          </cell>
          <cell r="K118" t="str">
            <v>F02</v>
          </cell>
          <cell r="L118">
            <v>423</v>
          </cell>
          <cell r="M118" t="str">
            <v>BES-&gt;CBU</v>
          </cell>
          <cell r="N118" t="str">
            <v>11.5J</v>
          </cell>
        </row>
        <row r="119">
          <cell r="A119" t="str">
            <v/>
          </cell>
        </row>
        <row r="120">
          <cell r="A120" t="str">
            <v/>
          </cell>
        </row>
        <row r="121">
          <cell r="A121" t="str">
            <v/>
          </cell>
        </row>
        <row r="122">
          <cell r="A122" t="str">
            <v/>
          </cell>
        </row>
        <row r="123">
          <cell r="A123" t="str">
            <v/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</row>
        <row r="129">
          <cell r="A129" t="str">
            <v/>
          </cell>
        </row>
        <row r="130">
          <cell r="A130" t="str">
            <v/>
          </cell>
        </row>
        <row r="131">
          <cell r="A131" t="str">
            <v/>
          </cell>
        </row>
        <row r="132">
          <cell r="A132" t="str">
            <v/>
          </cell>
        </row>
        <row r="133">
          <cell r="A133" t="str">
            <v/>
          </cell>
        </row>
        <row r="134">
          <cell r="A134" t="str">
            <v/>
          </cell>
        </row>
        <row r="135">
          <cell r="A135" t="str">
            <v/>
          </cell>
        </row>
        <row r="136">
          <cell r="A136" t="str">
            <v/>
          </cell>
        </row>
        <row r="137">
          <cell r="A137" t="str">
            <v/>
          </cell>
        </row>
        <row r="138">
          <cell r="A138" t="str">
            <v/>
          </cell>
        </row>
        <row r="139">
          <cell r="A139" t="str">
            <v/>
          </cell>
        </row>
        <row r="140">
          <cell r="A140" t="str">
            <v/>
          </cell>
        </row>
        <row r="141">
          <cell r="A141" t="str">
            <v/>
          </cell>
        </row>
        <row r="142">
          <cell r="A142" t="str">
            <v/>
          </cell>
        </row>
        <row r="143">
          <cell r="A143" t="str">
            <v/>
          </cell>
        </row>
        <row r="144">
          <cell r="A144" t="str">
            <v/>
          </cell>
        </row>
        <row r="145">
          <cell r="A145" t="str">
            <v/>
          </cell>
        </row>
        <row r="146">
          <cell r="A146" t="str">
            <v/>
          </cell>
        </row>
        <row r="147">
          <cell r="A147" t="str">
            <v/>
          </cell>
        </row>
        <row r="148">
          <cell r="A148" t="str">
            <v/>
          </cell>
        </row>
        <row r="149">
          <cell r="A149" t="str">
            <v/>
          </cell>
        </row>
        <row r="150">
          <cell r="A150" t="str">
            <v/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</row>
        <row r="156">
          <cell r="A156" t="str">
            <v/>
          </cell>
        </row>
        <row r="157">
          <cell r="A157" t="str">
            <v/>
          </cell>
        </row>
        <row r="158">
          <cell r="A158" t="str">
            <v/>
          </cell>
        </row>
        <row r="159">
          <cell r="A159" t="str">
            <v/>
          </cell>
        </row>
        <row r="160">
          <cell r="A160" t="str">
            <v/>
          </cell>
        </row>
        <row r="161">
          <cell r="A161" t="str">
            <v/>
          </cell>
        </row>
        <row r="162">
          <cell r="A162" t="str">
            <v/>
          </cell>
        </row>
        <row r="163">
          <cell r="A163" t="str">
            <v/>
          </cell>
        </row>
        <row r="164">
          <cell r="A164" t="str">
            <v/>
          </cell>
        </row>
        <row r="165">
          <cell r="A165" t="str">
            <v/>
          </cell>
        </row>
        <row r="166">
          <cell r="A166" t="str">
            <v/>
          </cell>
        </row>
        <row r="167">
          <cell r="A167" t="str">
            <v/>
          </cell>
        </row>
        <row r="168">
          <cell r="A168" t="str">
            <v/>
          </cell>
        </row>
        <row r="169">
          <cell r="A169" t="str">
            <v/>
          </cell>
        </row>
        <row r="170">
          <cell r="A170" t="str">
            <v/>
          </cell>
        </row>
        <row r="171">
          <cell r="A171" t="str">
            <v/>
          </cell>
        </row>
        <row r="172">
          <cell r="A172" t="str">
            <v/>
          </cell>
        </row>
        <row r="173">
          <cell r="A173" t="str">
            <v/>
          </cell>
        </row>
        <row r="174">
          <cell r="A174" t="str">
            <v/>
          </cell>
        </row>
        <row r="175">
          <cell r="A175" t="str">
            <v/>
          </cell>
        </row>
        <row r="176">
          <cell r="A176" t="str">
            <v/>
          </cell>
        </row>
        <row r="177">
          <cell r="A177" t="str">
            <v/>
          </cell>
        </row>
        <row r="178">
          <cell r="A178" t="str">
            <v/>
          </cell>
        </row>
        <row r="179">
          <cell r="A179" t="str">
            <v/>
          </cell>
        </row>
        <row r="180">
          <cell r="A180" t="str">
            <v/>
          </cell>
        </row>
        <row r="181">
          <cell r="A181" t="str">
            <v/>
          </cell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  <row r="209">
          <cell r="A209" t="str">
            <v/>
          </cell>
        </row>
        <row r="210">
          <cell r="A210" t="str">
            <v/>
          </cell>
        </row>
        <row r="211">
          <cell r="A211" t="str">
            <v/>
          </cell>
        </row>
        <row r="212">
          <cell r="A212" t="str">
            <v/>
          </cell>
        </row>
        <row r="213">
          <cell r="A213" t="str">
            <v/>
          </cell>
        </row>
        <row r="214">
          <cell r="A214" t="str">
            <v/>
          </cell>
        </row>
        <row r="215">
          <cell r="A215" t="str">
            <v/>
          </cell>
        </row>
        <row r="216">
          <cell r="A216" t="str">
            <v/>
          </cell>
        </row>
        <row r="217">
          <cell r="A217" t="str">
            <v/>
          </cell>
        </row>
        <row r="218">
          <cell r="A218" t="str">
            <v/>
          </cell>
        </row>
        <row r="219">
          <cell r="A219" t="str">
            <v/>
          </cell>
        </row>
        <row r="220">
          <cell r="A220" t="str">
            <v/>
          </cell>
        </row>
        <row r="221">
          <cell r="A221" t="str">
            <v/>
          </cell>
        </row>
        <row r="222">
          <cell r="A222" t="str">
            <v/>
          </cell>
        </row>
        <row r="223">
          <cell r="A223" t="str">
            <v/>
          </cell>
        </row>
        <row r="224">
          <cell r="A224" t="str">
            <v/>
          </cell>
        </row>
        <row r="225">
          <cell r="A225" t="str">
            <v/>
          </cell>
        </row>
        <row r="226">
          <cell r="A226" t="str">
            <v/>
          </cell>
        </row>
        <row r="227">
          <cell r="A227" t="str">
            <v/>
          </cell>
        </row>
        <row r="228">
          <cell r="A228" t="str">
            <v/>
          </cell>
        </row>
        <row r="229">
          <cell r="A229" t="str">
            <v/>
          </cell>
        </row>
        <row r="230">
          <cell r="A230" t="str">
            <v/>
          </cell>
        </row>
        <row r="231">
          <cell r="A231" t="str">
            <v/>
          </cell>
        </row>
        <row r="232">
          <cell r="A232" t="str">
            <v/>
          </cell>
        </row>
        <row r="233">
          <cell r="A233" t="str">
            <v/>
          </cell>
        </row>
        <row r="234">
          <cell r="A234" t="str">
            <v/>
          </cell>
        </row>
        <row r="235">
          <cell r="A235" t="str">
            <v/>
          </cell>
        </row>
        <row r="236">
          <cell r="A236" t="str">
            <v/>
          </cell>
        </row>
        <row r="237">
          <cell r="A237" t="str">
            <v/>
          </cell>
        </row>
        <row r="238">
          <cell r="A238" t="str">
            <v/>
          </cell>
        </row>
        <row r="239">
          <cell r="A239" t="str">
            <v/>
          </cell>
        </row>
        <row r="240">
          <cell r="A240" t="str">
            <v/>
          </cell>
        </row>
        <row r="241">
          <cell r="A241" t="str">
            <v/>
          </cell>
        </row>
        <row r="242">
          <cell r="A242" t="str">
            <v/>
          </cell>
        </row>
        <row r="243">
          <cell r="A243" t="str">
            <v/>
          </cell>
        </row>
        <row r="244">
          <cell r="A244" t="str">
            <v/>
          </cell>
        </row>
        <row r="245">
          <cell r="A245" t="str">
            <v/>
          </cell>
        </row>
        <row r="246">
          <cell r="A246" t="str">
            <v/>
          </cell>
        </row>
        <row r="247">
          <cell r="A247" t="str">
            <v/>
          </cell>
        </row>
        <row r="248">
          <cell r="A248" t="str">
            <v/>
          </cell>
        </row>
        <row r="249">
          <cell r="A249" t="str">
            <v/>
          </cell>
        </row>
        <row r="250">
          <cell r="A250" t="str">
            <v/>
          </cell>
        </row>
        <row r="251">
          <cell r="A251" t="str">
            <v/>
          </cell>
        </row>
        <row r="252">
          <cell r="A252" t="str">
            <v/>
          </cell>
        </row>
        <row r="253">
          <cell r="A253" t="str">
            <v/>
          </cell>
        </row>
        <row r="254">
          <cell r="A254" t="str">
            <v/>
          </cell>
        </row>
        <row r="255">
          <cell r="A255" t="str">
            <v/>
          </cell>
        </row>
        <row r="256">
          <cell r="A256" t="str">
            <v/>
          </cell>
        </row>
        <row r="257">
          <cell r="A257" t="str">
            <v/>
          </cell>
        </row>
        <row r="258">
          <cell r="A258" t="str">
            <v/>
          </cell>
        </row>
        <row r="259">
          <cell r="A259" t="str">
            <v/>
          </cell>
        </row>
        <row r="260">
          <cell r="A260" t="str">
            <v/>
          </cell>
        </row>
        <row r="261">
          <cell r="A261" t="str">
            <v/>
          </cell>
        </row>
        <row r="262">
          <cell r="A262" t="str">
            <v/>
          </cell>
        </row>
        <row r="263">
          <cell r="A263" t="str">
            <v/>
          </cell>
        </row>
        <row r="264">
          <cell r="A264" t="str">
            <v/>
          </cell>
        </row>
        <row r="265">
          <cell r="A265" t="str">
            <v/>
          </cell>
        </row>
        <row r="266">
          <cell r="A266" t="str">
            <v/>
          </cell>
        </row>
        <row r="267">
          <cell r="A267" t="str">
            <v/>
          </cell>
        </row>
        <row r="268">
          <cell r="A268" t="str">
            <v/>
          </cell>
        </row>
        <row r="269">
          <cell r="A269" t="str">
            <v/>
          </cell>
        </row>
        <row r="270">
          <cell r="A270" t="str">
            <v/>
          </cell>
        </row>
        <row r="271">
          <cell r="A271" t="str">
            <v/>
          </cell>
        </row>
        <row r="272">
          <cell r="A272" t="str">
            <v/>
          </cell>
        </row>
        <row r="273">
          <cell r="A273" t="str">
            <v/>
          </cell>
        </row>
        <row r="274">
          <cell r="A274" t="str">
            <v/>
          </cell>
        </row>
        <row r="275">
          <cell r="A275" t="str">
            <v/>
          </cell>
        </row>
        <row r="276">
          <cell r="A276" t="str">
            <v/>
          </cell>
        </row>
        <row r="277">
          <cell r="A277" t="str">
            <v/>
          </cell>
        </row>
        <row r="278">
          <cell r="A278" t="str">
            <v/>
          </cell>
        </row>
        <row r="279">
          <cell r="A279" t="str">
            <v/>
          </cell>
        </row>
        <row r="280">
          <cell r="A280" t="str">
            <v/>
          </cell>
        </row>
        <row r="281">
          <cell r="A281" t="str">
            <v/>
          </cell>
        </row>
        <row r="282">
          <cell r="A282" t="str">
            <v/>
          </cell>
        </row>
        <row r="283">
          <cell r="A283" t="str">
            <v/>
          </cell>
        </row>
        <row r="284">
          <cell r="A284" t="str">
            <v/>
          </cell>
        </row>
        <row r="285">
          <cell r="A285" t="str">
            <v/>
          </cell>
        </row>
        <row r="286">
          <cell r="A286" t="str">
            <v/>
          </cell>
        </row>
        <row r="287">
          <cell r="A287" t="str">
            <v/>
          </cell>
        </row>
        <row r="288">
          <cell r="A288" t="str">
            <v/>
          </cell>
        </row>
        <row r="289">
          <cell r="A289" t="str">
            <v/>
          </cell>
        </row>
        <row r="290">
          <cell r="A290" t="str">
            <v/>
          </cell>
        </row>
        <row r="291">
          <cell r="A291" t="str">
            <v/>
          </cell>
        </row>
        <row r="292">
          <cell r="A292" t="str">
            <v/>
          </cell>
        </row>
        <row r="293">
          <cell r="A293" t="str">
            <v/>
          </cell>
        </row>
        <row r="294">
          <cell r="A294" t="str">
            <v/>
          </cell>
        </row>
        <row r="295">
          <cell r="A295" t="str">
            <v/>
          </cell>
        </row>
        <row r="296">
          <cell r="A296" t="str">
            <v/>
          </cell>
        </row>
        <row r="297">
          <cell r="A297" t="str">
            <v/>
          </cell>
        </row>
        <row r="298">
          <cell r="A298" t="str">
            <v/>
          </cell>
        </row>
        <row r="299">
          <cell r="A299" t="str">
            <v/>
          </cell>
        </row>
        <row r="300">
          <cell r="A300" t="str">
            <v/>
          </cell>
        </row>
        <row r="301">
          <cell r="A301" t="str">
            <v/>
          </cell>
        </row>
        <row r="302">
          <cell r="A302" t="str">
            <v/>
          </cell>
        </row>
        <row r="303">
          <cell r="A303" t="str">
            <v/>
          </cell>
        </row>
        <row r="304">
          <cell r="A304" t="str">
            <v/>
          </cell>
        </row>
        <row r="305">
          <cell r="A305" t="str">
            <v/>
          </cell>
        </row>
        <row r="306">
          <cell r="A306" t="str">
            <v/>
          </cell>
        </row>
        <row r="307">
          <cell r="A307" t="str">
            <v/>
          </cell>
        </row>
        <row r="308">
          <cell r="A308" t="str">
            <v/>
          </cell>
        </row>
        <row r="309">
          <cell r="A309" t="str">
            <v/>
          </cell>
        </row>
        <row r="310">
          <cell r="A310" t="str">
            <v/>
          </cell>
        </row>
        <row r="311">
          <cell r="A311" t="str">
            <v/>
          </cell>
        </row>
        <row r="312">
          <cell r="A312" t="str">
            <v/>
          </cell>
        </row>
        <row r="313">
          <cell r="A313" t="str">
            <v/>
          </cell>
        </row>
        <row r="314">
          <cell r="A314" t="str">
            <v/>
          </cell>
        </row>
        <row r="315">
          <cell r="A315" t="str">
            <v/>
          </cell>
        </row>
        <row r="316">
          <cell r="A316" t="str">
            <v/>
          </cell>
        </row>
        <row r="317">
          <cell r="A317" t="str">
            <v/>
          </cell>
        </row>
        <row r="318">
          <cell r="A318" t="str">
            <v/>
          </cell>
        </row>
        <row r="319">
          <cell r="A319" t="str">
            <v/>
          </cell>
        </row>
        <row r="320">
          <cell r="A320" t="str">
            <v/>
          </cell>
        </row>
        <row r="321">
          <cell r="A321" t="str">
            <v/>
          </cell>
        </row>
        <row r="322">
          <cell r="A322" t="str">
            <v/>
          </cell>
        </row>
        <row r="323">
          <cell r="A323" t="str">
            <v/>
          </cell>
        </row>
        <row r="324">
          <cell r="A324" t="str">
            <v/>
          </cell>
        </row>
        <row r="325">
          <cell r="A325" t="str">
            <v/>
          </cell>
        </row>
        <row r="326">
          <cell r="A326" t="str">
            <v/>
          </cell>
        </row>
        <row r="327">
          <cell r="A327" t="str">
            <v/>
          </cell>
        </row>
        <row r="328">
          <cell r="A328" t="str">
            <v/>
          </cell>
        </row>
        <row r="329">
          <cell r="A329" t="str">
            <v/>
          </cell>
        </row>
        <row r="330">
          <cell r="A330" t="str">
            <v/>
          </cell>
        </row>
        <row r="331">
          <cell r="A331" t="str">
            <v/>
          </cell>
        </row>
        <row r="332">
          <cell r="A332" t="str">
            <v/>
          </cell>
        </row>
        <row r="333">
          <cell r="A333" t="str">
            <v/>
          </cell>
        </row>
        <row r="334">
          <cell r="A334" t="str">
            <v/>
          </cell>
        </row>
        <row r="335">
          <cell r="A335" t="str">
            <v/>
          </cell>
        </row>
        <row r="336">
          <cell r="A336" t="str">
            <v/>
          </cell>
        </row>
        <row r="337">
          <cell r="A337" t="str">
            <v/>
          </cell>
        </row>
        <row r="338">
          <cell r="A338" t="str">
            <v/>
          </cell>
        </row>
        <row r="339">
          <cell r="A339" t="str">
            <v/>
          </cell>
        </row>
        <row r="340">
          <cell r="A340" t="str">
            <v/>
          </cell>
        </row>
        <row r="341">
          <cell r="A341" t="str">
            <v/>
          </cell>
        </row>
        <row r="342">
          <cell r="A342" t="str">
            <v/>
          </cell>
        </row>
        <row r="343">
          <cell r="A343" t="str">
            <v/>
          </cell>
        </row>
        <row r="344">
          <cell r="A344" t="str">
            <v/>
          </cell>
        </row>
        <row r="345">
          <cell r="A345" t="str">
            <v/>
          </cell>
        </row>
        <row r="346">
          <cell r="A346" t="str">
            <v/>
          </cell>
        </row>
        <row r="347">
          <cell r="A347" t="str">
            <v/>
          </cell>
        </row>
        <row r="348">
          <cell r="A348" t="str">
            <v/>
          </cell>
        </row>
        <row r="349">
          <cell r="A349" t="str">
            <v/>
          </cell>
        </row>
        <row r="350">
          <cell r="A350" t="str">
            <v/>
          </cell>
        </row>
        <row r="351">
          <cell r="A351" t="str">
            <v/>
          </cell>
        </row>
        <row r="352">
          <cell r="A352" t="str">
            <v/>
          </cell>
        </row>
        <row r="353">
          <cell r="A353" t="str">
            <v/>
          </cell>
        </row>
        <row r="354">
          <cell r="A354" t="str">
            <v/>
          </cell>
        </row>
        <row r="355">
          <cell r="A355" t="str">
            <v/>
          </cell>
        </row>
        <row r="356">
          <cell r="A356" t="str">
            <v/>
          </cell>
        </row>
        <row r="357">
          <cell r="A357" t="str">
            <v/>
          </cell>
        </row>
        <row r="358">
          <cell r="A358" t="str">
            <v/>
          </cell>
        </row>
        <row r="359">
          <cell r="A359" t="str">
            <v/>
          </cell>
        </row>
        <row r="360">
          <cell r="A360" t="str">
            <v/>
          </cell>
        </row>
        <row r="361">
          <cell r="A361" t="str">
            <v/>
          </cell>
        </row>
        <row r="362">
          <cell r="A362" t="str">
            <v/>
          </cell>
        </row>
        <row r="363">
          <cell r="A363" t="str">
            <v/>
          </cell>
        </row>
        <row r="364">
          <cell r="A364" t="str">
            <v/>
          </cell>
        </row>
        <row r="365">
          <cell r="A365" t="str">
            <v/>
          </cell>
        </row>
        <row r="366">
          <cell r="A366" t="str">
            <v/>
          </cell>
        </row>
        <row r="367">
          <cell r="A367" t="str">
            <v/>
          </cell>
        </row>
        <row r="368">
          <cell r="A368" t="str">
            <v/>
          </cell>
        </row>
        <row r="369">
          <cell r="A369" t="str">
            <v/>
          </cell>
        </row>
        <row r="370">
          <cell r="A370" t="str">
            <v/>
          </cell>
        </row>
        <row r="371">
          <cell r="A371" t="str">
            <v/>
          </cell>
        </row>
        <row r="372">
          <cell r="A372" t="str">
            <v/>
          </cell>
        </row>
        <row r="373">
          <cell r="A373" t="str">
            <v/>
          </cell>
        </row>
        <row r="374">
          <cell r="A374" t="str">
            <v/>
          </cell>
        </row>
        <row r="375">
          <cell r="A375" t="str">
            <v/>
          </cell>
        </row>
        <row r="376">
          <cell r="A376" t="str">
            <v/>
          </cell>
        </row>
        <row r="377">
          <cell r="A377" t="str">
            <v/>
          </cell>
        </row>
        <row r="378">
          <cell r="A378" t="str">
            <v/>
          </cell>
        </row>
        <row r="379">
          <cell r="A379" t="str">
            <v/>
          </cell>
        </row>
        <row r="380">
          <cell r="A380" t="str">
            <v/>
          </cell>
        </row>
        <row r="381">
          <cell r="A381" t="str">
            <v/>
          </cell>
        </row>
        <row r="382">
          <cell r="A382" t="str">
            <v/>
          </cell>
        </row>
        <row r="383">
          <cell r="A383" t="str">
            <v/>
          </cell>
        </row>
        <row r="384">
          <cell r="A384" t="str">
            <v/>
          </cell>
        </row>
        <row r="385">
          <cell r="A385" t="str">
            <v/>
          </cell>
        </row>
        <row r="386">
          <cell r="A386" t="str">
            <v/>
          </cell>
        </row>
        <row r="387">
          <cell r="A387" t="str">
            <v/>
          </cell>
        </row>
        <row r="388">
          <cell r="A388" t="str">
            <v/>
          </cell>
        </row>
        <row r="389">
          <cell r="A389" t="str">
            <v/>
          </cell>
        </row>
        <row r="390">
          <cell r="A390" t="str">
            <v/>
          </cell>
        </row>
        <row r="391">
          <cell r="A391" t="str">
            <v/>
          </cell>
        </row>
        <row r="392">
          <cell r="A392" t="str">
            <v/>
          </cell>
        </row>
        <row r="393">
          <cell r="A393" t="str">
            <v/>
          </cell>
        </row>
        <row r="394">
          <cell r="A394" t="str">
            <v/>
          </cell>
        </row>
        <row r="395">
          <cell r="A395" t="str">
            <v/>
          </cell>
        </row>
        <row r="396">
          <cell r="A396" t="str">
            <v/>
          </cell>
        </row>
        <row r="397">
          <cell r="A397" t="str">
            <v/>
          </cell>
        </row>
        <row r="398">
          <cell r="A398" t="str">
            <v/>
          </cell>
        </row>
        <row r="399">
          <cell r="A399" t="str">
            <v/>
          </cell>
        </row>
        <row r="400">
          <cell r="A400" t="str">
            <v/>
          </cell>
        </row>
        <row r="401">
          <cell r="A401" t="str">
            <v/>
          </cell>
        </row>
        <row r="402">
          <cell r="A402" t="str">
            <v/>
          </cell>
        </row>
        <row r="403">
          <cell r="A403" t="str">
            <v/>
          </cell>
        </row>
        <row r="404">
          <cell r="A404" t="str">
            <v/>
          </cell>
        </row>
        <row r="405">
          <cell r="A405" t="str">
            <v/>
          </cell>
        </row>
        <row r="406">
          <cell r="A406" t="str">
            <v/>
          </cell>
        </row>
        <row r="407">
          <cell r="A407" t="str">
            <v/>
          </cell>
        </row>
        <row r="408">
          <cell r="A408" t="str">
            <v/>
          </cell>
        </row>
        <row r="409">
          <cell r="A409" t="str">
            <v/>
          </cell>
        </row>
        <row r="410">
          <cell r="A410" t="str">
            <v/>
          </cell>
        </row>
        <row r="411">
          <cell r="A411" t="str">
            <v/>
          </cell>
        </row>
        <row r="412">
          <cell r="A412" t="str">
            <v/>
          </cell>
        </row>
        <row r="413">
          <cell r="A413" t="str">
            <v/>
          </cell>
        </row>
        <row r="414">
          <cell r="A414" t="str">
            <v/>
          </cell>
        </row>
        <row r="415">
          <cell r="A415" t="str">
            <v/>
          </cell>
        </row>
        <row r="416">
          <cell r="A416" t="str">
            <v/>
          </cell>
        </row>
        <row r="417">
          <cell r="A417" t="str">
            <v/>
          </cell>
        </row>
        <row r="418">
          <cell r="A418" t="str">
            <v/>
          </cell>
        </row>
        <row r="419">
          <cell r="A419" t="str">
            <v/>
          </cell>
        </row>
        <row r="420">
          <cell r="A420" t="str">
            <v/>
          </cell>
        </row>
        <row r="421">
          <cell r="A421" t="str">
            <v/>
          </cell>
        </row>
        <row r="422">
          <cell r="A422" t="str">
            <v/>
          </cell>
        </row>
        <row r="423">
          <cell r="A423" t="str">
            <v/>
          </cell>
        </row>
        <row r="424">
          <cell r="A424" t="str">
            <v/>
          </cell>
        </row>
        <row r="425">
          <cell r="A425" t="str">
            <v/>
          </cell>
        </row>
        <row r="426">
          <cell r="A426" t="str">
            <v/>
          </cell>
        </row>
        <row r="427">
          <cell r="A427" t="str">
            <v/>
          </cell>
        </row>
        <row r="428">
          <cell r="A428" t="str">
            <v/>
          </cell>
        </row>
        <row r="429">
          <cell r="A429" t="str">
            <v/>
          </cell>
        </row>
        <row r="430">
          <cell r="A430" t="str">
            <v/>
          </cell>
        </row>
        <row r="431">
          <cell r="A431" t="str">
            <v/>
          </cell>
        </row>
        <row r="432">
          <cell r="A432" t="str">
            <v/>
          </cell>
        </row>
        <row r="433">
          <cell r="A433" t="str">
            <v/>
          </cell>
        </row>
        <row r="434">
          <cell r="A434" t="str">
            <v/>
          </cell>
        </row>
        <row r="435">
          <cell r="A435" t="str">
            <v/>
          </cell>
        </row>
        <row r="436">
          <cell r="A436" t="str">
            <v/>
          </cell>
        </row>
        <row r="437">
          <cell r="A437" t="str">
            <v/>
          </cell>
        </row>
        <row r="438">
          <cell r="A438" t="str">
            <v/>
          </cell>
        </row>
        <row r="439">
          <cell r="A439" t="str">
            <v/>
          </cell>
        </row>
        <row r="440">
          <cell r="A440" t="str">
            <v/>
          </cell>
        </row>
        <row r="441">
          <cell r="A441" t="str">
            <v/>
          </cell>
        </row>
        <row r="442">
          <cell r="A442" t="str">
            <v/>
          </cell>
        </row>
        <row r="443">
          <cell r="A443" t="str">
            <v/>
          </cell>
        </row>
        <row r="444">
          <cell r="A444" t="str">
            <v/>
          </cell>
        </row>
        <row r="445">
          <cell r="A445" t="str">
            <v/>
          </cell>
        </row>
        <row r="446">
          <cell r="A446" t="str">
            <v/>
          </cell>
        </row>
        <row r="447">
          <cell r="A447" t="str">
            <v/>
          </cell>
        </row>
        <row r="448">
          <cell r="A448" t="str">
            <v/>
          </cell>
        </row>
        <row r="449">
          <cell r="A449" t="str">
            <v/>
          </cell>
        </row>
        <row r="450">
          <cell r="A450" t="str">
            <v/>
          </cell>
        </row>
        <row r="451">
          <cell r="A451" t="str">
            <v/>
          </cell>
        </row>
        <row r="452">
          <cell r="A452" t="str">
            <v/>
          </cell>
        </row>
        <row r="453">
          <cell r="A453" t="str">
            <v/>
          </cell>
        </row>
        <row r="454">
          <cell r="A454" t="str">
            <v/>
          </cell>
        </row>
        <row r="455">
          <cell r="A455" t="str">
            <v/>
          </cell>
        </row>
        <row r="456">
          <cell r="A456" t="str">
            <v/>
          </cell>
        </row>
        <row r="457">
          <cell r="A457" t="str">
            <v/>
          </cell>
        </row>
        <row r="458">
          <cell r="A458" t="str">
            <v/>
          </cell>
        </row>
        <row r="459">
          <cell r="A459" t="str">
            <v/>
          </cell>
        </row>
        <row r="460">
          <cell r="A460" t="str">
            <v/>
          </cell>
        </row>
        <row r="461">
          <cell r="A461" t="str">
            <v/>
          </cell>
        </row>
        <row r="462">
          <cell r="A462" t="str">
            <v/>
          </cell>
        </row>
        <row r="463">
          <cell r="A463" t="str">
            <v/>
          </cell>
        </row>
        <row r="464">
          <cell r="A464" t="str">
            <v/>
          </cell>
        </row>
        <row r="465">
          <cell r="A465" t="str">
            <v/>
          </cell>
        </row>
        <row r="466">
          <cell r="A466" t="str">
            <v/>
          </cell>
        </row>
        <row r="467">
          <cell r="A467" t="str">
            <v/>
          </cell>
        </row>
        <row r="468">
          <cell r="A468" t="str">
            <v/>
          </cell>
        </row>
        <row r="469">
          <cell r="A469" t="str">
            <v/>
          </cell>
        </row>
        <row r="470">
          <cell r="A470" t="str">
            <v/>
          </cell>
        </row>
        <row r="471">
          <cell r="A471" t="str">
            <v/>
          </cell>
        </row>
        <row r="472">
          <cell r="A472" t="str">
            <v/>
          </cell>
        </row>
        <row r="473">
          <cell r="A473" t="str">
            <v/>
          </cell>
        </row>
        <row r="474">
          <cell r="A474" t="str">
            <v/>
          </cell>
        </row>
        <row r="475">
          <cell r="A475" t="str">
            <v/>
          </cell>
        </row>
        <row r="476">
          <cell r="A476" t="str">
            <v/>
          </cell>
        </row>
        <row r="477">
          <cell r="A477" t="str">
            <v/>
          </cell>
        </row>
        <row r="478">
          <cell r="A478" t="str">
            <v/>
          </cell>
        </row>
        <row r="479">
          <cell r="A479" t="str">
            <v/>
          </cell>
        </row>
        <row r="480">
          <cell r="A480" t="str">
            <v/>
          </cell>
        </row>
        <row r="481">
          <cell r="A481" t="str">
            <v/>
          </cell>
        </row>
        <row r="482">
          <cell r="A482" t="str">
            <v/>
          </cell>
        </row>
        <row r="483">
          <cell r="A483" t="str">
            <v/>
          </cell>
        </row>
        <row r="484">
          <cell r="A484" t="str">
            <v/>
          </cell>
        </row>
        <row r="485">
          <cell r="A485" t="str">
            <v/>
          </cell>
        </row>
        <row r="486">
          <cell r="A486" t="str">
            <v/>
          </cell>
        </row>
        <row r="487">
          <cell r="A487" t="str">
            <v/>
          </cell>
        </row>
        <row r="488">
          <cell r="A488" t="str">
            <v/>
          </cell>
        </row>
        <row r="489">
          <cell r="A489" t="str">
            <v/>
          </cell>
        </row>
        <row r="490">
          <cell r="A490" t="str">
            <v/>
          </cell>
        </row>
        <row r="491">
          <cell r="A491" t="str">
            <v/>
          </cell>
        </row>
        <row r="492">
          <cell r="A492" t="str">
            <v/>
          </cell>
        </row>
        <row r="493">
          <cell r="A493" t="str">
            <v/>
          </cell>
        </row>
        <row r="494">
          <cell r="A494" t="str">
            <v/>
          </cell>
        </row>
        <row r="495">
          <cell r="A495" t="str">
            <v/>
          </cell>
        </row>
        <row r="496">
          <cell r="A496" t="str">
            <v/>
          </cell>
        </row>
        <row r="497">
          <cell r="A497" t="str">
            <v/>
          </cell>
        </row>
        <row r="498">
          <cell r="A498" t="str">
            <v/>
          </cell>
        </row>
        <row r="499">
          <cell r="A499" t="str">
            <v/>
          </cell>
        </row>
        <row r="500">
          <cell r="A500" t="str">
            <v/>
          </cell>
        </row>
        <row r="501">
          <cell r="A501" t="str">
            <v/>
          </cell>
        </row>
        <row r="502">
          <cell r="A502" t="str">
            <v/>
          </cell>
        </row>
        <row r="503">
          <cell r="A503" t="str">
            <v/>
          </cell>
        </row>
        <row r="504">
          <cell r="A504" t="str">
            <v/>
          </cell>
        </row>
        <row r="505">
          <cell r="A505" t="str">
            <v/>
          </cell>
        </row>
        <row r="506">
          <cell r="A506" t="str">
            <v/>
          </cell>
        </row>
        <row r="507">
          <cell r="A507" t="str">
            <v/>
          </cell>
        </row>
        <row r="508">
          <cell r="A508" t="str">
            <v/>
          </cell>
        </row>
        <row r="509">
          <cell r="A509" t="str">
            <v/>
          </cell>
        </row>
        <row r="510">
          <cell r="A510" t="str">
            <v/>
          </cell>
        </row>
        <row r="511">
          <cell r="A511" t="str">
            <v/>
          </cell>
        </row>
        <row r="512">
          <cell r="A512" t="str">
            <v/>
          </cell>
        </row>
        <row r="513">
          <cell r="A513" t="str">
            <v/>
          </cell>
        </row>
        <row r="514">
          <cell r="A514" t="str">
            <v/>
          </cell>
        </row>
        <row r="515">
          <cell r="A515" t="str">
            <v/>
          </cell>
        </row>
        <row r="516">
          <cell r="A516" t="str">
            <v/>
          </cell>
        </row>
        <row r="517">
          <cell r="A517" t="str">
            <v/>
          </cell>
        </row>
        <row r="518">
          <cell r="A518" t="str">
            <v/>
          </cell>
        </row>
        <row r="519">
          <cell r="A519" t="str">
            <v/>
          </cell>
        </row>
        <row r="520">
          <cell r="A520" t="str">
            <v/>
          </cell>
        </row>
        <row r="521">
          <cell r="A521" t="str">
            <v/>
          </cell>
        </row>
        <row r="522">
          <cell r="A522" t="str">
            <v/>
          </cell>
        </row>
        <row r="523">
          <cell r="A523" t="str">
            <v/>
          </cell>
        </row>
        <row r="524">
          <cell r="A524" t="str">
            <v/>
          </cell>
        </row>
        <row r="525">
          <cell r="A525" t="str">
            <v/>
          </cell>
        </row>
        <row r="526">
          <cell r="A526" t="str">
            <v/>
          </cell>
        </row>
        <row r="527">
          <cell r="A527" t="str">
            <v/>
          </cell>
        </row>
        <row r="528">
          <cell r="A528" t="str">
            <v/>
          </cell>
        </row>
        <row r="529">
          <cell r="A529" t="str">
            <v/>
          </cell>
        </row>
        <row r="530">
          <cell r="A530" t="str">
            <v/>
          </cell>
        </row>
        <row r="531">
          <cell r="A531" t="str">
            <v/>
          </cell>
        </row>
        <row r="532">
          <cell r="A532" t="str">
            <v/>
          </cell>
        </row>
        <row r="533">
          <cell r="A533" t="str">
            <v/>
          </cell>
        </row>
        <row r="534">
          <cell r="A534" t="str">
            <v/>
          </cell>
        </row>
        <row r="535">
          <cell r="A535" t="str">
            <v/>
          </cell>
        </row>
        <row r="536">
          <cell r="A536" t="str">
            <v/>
          </cell>
        </row>
        <row r="537">
          <cell r="A537" t="str">
            <v/>
          </cell>
        </row>
        <row r="538">
          <cell r="A538" t="str">
            <v/>
          </cell>
        </row>
        <row r="539">
          <cell r="A539" t="str">
            <v/>
          </cell>
        </row>
        <row r="540">
          <cell r="A540" t="str">
            <v/>
          </cell>
        </row>
        <row r="541">
          <cell r="A541" t="str">
            <v/>
          </cell>
        </row>
        <row r="542">
          <cell r="A542" t="str">
            <v/>
          </cell>
        </row>
        <row r="543">
          <cell r="A543" t="str">
            <v/>
          </cell>
        </row>
        <row r="544">
          <cell r="A544" t="str">
            <v/>
          </cell>
        </row>
        <row r="545">
          <cell r="A545" t="str">
            <v/>
          </cell>
        </row>
        <row r="546">
          <cell r="A546" t="str">
            <v/>
          </cell>
        </row>
        <row r="547">
          <cell r="A547" t="str">
            <v/>
          </cell>
        </row>
        <row r="548">
          <cell r="A548" t="str">
            <v/>
          </cell>
        </row>
        <row r="549">
          <cell r="A549" t="str">
            <v/>
          </cell>
        </row>
        <row r="550">
          <cell r="A550" t="str">
            <v/>
          </cell>
        </row>
        <row r="551">
          <cell r="A551" t="str">
            <v/>
          </cell>
        </row>
        <row r="552">
          <cell r="A552" t="str">
            <v/>
          </cell>
        </row>
        <row r="553">
          <cell r="A553" t="str">
            <v/>
          </cell>
        </row>
        <row r="554">
          <cell r="A554" t="str">
            <v/>
          </cell>
        </row>
        <row r="555">
          <cell r="A555" t="str">
            <v/>
          </cell>
        </row>
        <row r="556">
          <cell r="A556" t="str">
            <v/>
          </cell>
        </row>
        <row r="557">
          <cell r="A557" t="str">
            <v/>
          </cell>
        </row>
        <row r="558">
          <cell r="A558" t="str">
            <v/>
          </cell>
        </row>
        <row r="559">
          <cell r="A559" t="str">
            <v/>
          </cell>
        </row>
        <row r="560">
          <cell r="A560" t="str">
            <v/>
          </cell>
        </row>
        <row r="561">
          <cell r="A561" t="str">
            <v/>
          </cell>
        </row>
        <row r="562">
          <cell r="A562" t="str">
            <v/>
          </cell>
        </row>
        <row r="563">
          <cell r="A563" t="str">
            <v/>
          </cell>
        </row>
        <row r="564">
          <cell r="A564" t="str">
            <v/>
          </cell>
        </row>
        <row r="565">
          <cell r="A565" t="str">
            <v/>
          </cell>
        </row>
        <row r="566">
          <cell r="A566" t="str">
            <v/>
          </cell>
        </row>
        <row r="567">
          <cell r="A567" t="str">
            <v/>
          </cell>
        </row>
        <row r="568">
          <cell r="A568" t="str">
            <v/>
          </cell>
        </row>
        <row r="569">
          <cell r="A569" t="str">
            <v/>
          </cell>
        </row>
        <row r="570">
          <cell r="A570" t="str">
            <v/>
          </cell>
        </row>
        <row r="571">
          <cell r="A571" t="str">
            <v/>
          </cell>
        </row>
        <row r="572">
          <cell r="A572" t="str">
            <v/>
          </cell>
        </row>
        <row r="573">
          <cell r="A573" t="str">
            <v/>
          </cell>
        </row>
        <row r="574">
          <cell r="A574" t="str">
            <v/>
          </cell>
        </row>
        <row r="575">
          <cell r="A575" t="str">
            <v/>
          </cell>
        </row>
        <row r="576">
          <cell r="A576" t="str">
            <v/>
          </cell>
        </row>
        <row r="577">
          <cell r="A577" t="str">
            <v/>
          </cell>
        </row>
        <row r="578">
          <cell r="A578" t="str">
            <v/>
          </cell>
        </row>
        <row r="579">
          <cell r="A579" t="str">
            <v/>
          </cell>
        </row>
        <row r="580">
          <cell r="A580" t="str">
            <v/>
          </cell>
        </row>
        <row r="581">
          <cell r="A581" t="str">
            <v/>
          </cell>
        </row>
        <row r="582">
          <cell r="A582" t="str">
            <v/>
          </cell>
        </row>
        <row r="583">
          <cell r="A583" t="str">
            <v/>
          </cell>
        </row>
        <row r="584">
          <cell r="A584" t="str">
            <v/>
          </cell>
        </row>
        <row r="585">
          <cell r="A585" t="str">
            <v/>
          </cell>
        </row>
        <row r="586">
          <cell r="A586" t="str">
            <v/>
          </cell>
        </row>
        <row r="587">
          <cell r="A587" t="str">
            <v/>
          </cell>
        </row>
        <row r="588">
          <cell r="A588" t="str">
            <v/>
          </cell>
        </row>
        <row r="589">
          <cell r="A589" t="str">
            <v/>
          </cell>
        </row>
        <row r="590">
          <cell r="A590" t="str">
            <v/>
          </cell>
        </row>
        <row r="591">
          <cell r="A591" t="str">
            <v/>
          </cell>
        </row>
        <row r="592">
          <cell r="A592" t="str">
            <v/>
          </cell>
        </row>
        <row r="593">
          <cell r="A593" t="str">
            <v/>
          </cell>
        </row>
        <row r="594">
          <cell r="A594" t="str">
            <v/>
          </cell>
        </row>
        <row r="595">
          <cell r="A595" t="str">
            <v/>
          </cell>
        </row>
        <row r="596">
          <cell r="A596" t="str">
            <v/>
          </cell>
        </row>
        <row r="597">
          <cell r="A597" t="str">
            <v/>
          </cell>
        </row>
        <row r="598">
          <cell r="A598" t="str">
            <v/>
          </cell>
        </row>
        <row r="599">
          <cell r="A599" t="str">
            <v/>
          </cell>
        </row>
        <row r="600">
          <cell r="A600" t="str">
            <v/>
          </cell>
        </row>
        <row r="601">
          <cell r="A601" t="str">
            <v/>
          </cell>
        </row>
        <row r="602">
          <cell r="A602" t="str">
            <v/>
          </cell>
        </row>
        <row r="603">
          <cell r="A603" t="str">
            <v/>
          </cell>
        </row>
        <row r="604">
          <cell r="A604" t="str">
            <v/>
          </cell>
        </row>
        <row r="605">
          <cell r="A605" t="str">
            <v/>
          </cell>
        </row>
        <row r="606">
          <cell r="A606" t="str">
            <v/>
          </cell>
        </row>
        <row r="607">
          <cell r="A607" t="str">
            <v/>
          </cell>
        </row>
        <row r="608">
          <cell r="A608" t="str">
            <v/>
          </cell>
        </row>
        <row r="609">
          <cell r="A609" t="str">
            <v/>
          </cell>
        </row>
        <row r="610">
          <cell r="A610" t="str">
            <v/>
          </cell>
        </row>
        <row r="611">
          <cell r="A611" t="str">
            <v/>
          </cell>
        </row>
        <row r="612">
          <cell r="A612" t="str">
            <v/>
          </cell>
        </row>
        <row r="613">
          <cell r="A613" t="str">
            <v/>
          </cell>
        </row>
        <row r="614">
          <cell r="A614" t="str">
            <v/>
          </cell>
        </row>
        <row r="615">
          <cell r="A615" t="str">
            <v/>
          </cell>
        </row>
        <row r="616">
          <cell r="A616" t="str">
            <v/>
          </cell>
        </row>
        <row r="617">
          <cell r="A617" t="str">
            <v/>
          </cell>
        </row>
        <row r="618">
          <cell r="A618" t="str">
            <v/>
          </cell>
        </row>
        <row r="619">
          <cell r="A619" t="str">
            <v/>
          </cell>
        </row>
        <row r="620">
          <cell r="A620" t="str">
            <v/>
          </cell>
        </row>
        <row r="621">
          <cell r="A621" t="str">
            <v/>
          </cell>
        </row>
        <row r="622">
          <cell r="A622" t="str">
            <v/>
          </cell>
        </row>
        <row r="623">
          <cell r="A623" t="str">
            <v/>
          </cell>
        </row>
        <row r="624">
          <cell r="A624" t="str">
            <v/>
          </cell>
        </row>
        <row r="625">
          <cell r="A625" t="str">
            <v/>
          </cell>
        </row>
        <row r="626">
          <cell r="A626" t="str">
            <v/>
          </cell>
        </row>
        <row r="627">
          <cell r="A627" t="str">
            <v/>
          </cell>
        </row>
        <row r="628">
          <cell r="A628" t="str">
            <v/>
          </cell>
        </row>
        <row r="629">
          <cell r="A629" t="str">
            <v/>
          </cell>
        </row>
        <row r="630">
          <cell r="A630" t="str">
            <v/>
          </cell>
        </row>
        <row r="631">
          <cell r="A631" t="str">
            <v/>
          </cell>
        </row>
        <row r="632">
          <cell r="A632" t="str">
            <v/>
          </cell>
        </row>
        <row r="633">
          <cell r="A633" t="str">
            <v/>
          </cell>
        </row>
        <row r="634">
          <cell r="A634" t="str">
            <v/>
          </cell>
        </row>
        <row r="635">
          <cell r="A635" t="str">
            <v/>
          </cell>
        </row>
        <row r="636">
          <cell r="A636" t="str">
            <v/>
          </cell>
        </row>
        <row r="637">
          <cell r="A637" t="str">
            <v/>
          </cell>
        </row>
        <row r="638">
          <cell r="A638" t="str">
            <v/>
          </cell>
        </row>
        <row r="639">
          <cell r="A639" t="str">
            <v/>
          </cell>
        </row>
        <row r="640">
          <cell r="A640" t="str">
            <v/>
          </cell>
        </row>
        <row r="641">
          <cell r="A641" t="str">
            <v/>
          </cell>
        </row>
        <row r="642">
          <cell r="A642" t="str">
            <v/>
          </cell>
        </row>
        <row r="643">
          <cell r="A643" t="str">
            <v/>
          </cell>
        </row>
        <row r="644">
          <cell r="A644" t="str">
            <v/>
          </cell>
        </row>
        <row r="645">
          <cell r="A645" t="str">
            <v/>
          </cell>
        </row>
        <row r="646">
          <cell r="A646" t="str">
            <v/>
          </cell>
        </row>
        <row r="647">
          <cell r="A647" t="str">
            <v/>
          </cell>
        </row>
        <row r="648">
          <cell r="A648" t="str">
            <v/>
          </cell>
        </row>
        <row r="649">
          <cell r="A649" t="str">
            <v/>
          </cell>
        </row>
        <row r="650">
          <cell r="A650" t="str">
            <v/>
          </cell>
        </row>
        <row r="651">
          <cell r="A651" t="str">
            <v/>
          </cell>
        </row>
        <row r="652">
          <cell r="A652" t="str">
            <v/>
          </cell>
        </row>
        <row r="653">
          <cell r="A653" t="str">
            <v/>
          </cell>
        </row>
        <row r="654">
          <cell r="A654" t="str">
            <v/>
          </cell>
        </row>
        <row r="655">
          <cell r="A655" t="str">
            <v/>
          </cell>
        </row>
        <row r="656">
          <cell r="A656" t="str">
            <v/>
          </cell>
        </row>
        <row r="657">
          <cell r="A657" t="str">
            <v/>
          </cell>
        </row>
        <row r="658">
          <cell r="A658" t="str">
            <v/>
          </cell>
        </row>
        <row r="659">
          <cell r="A659" t="str">
            <v/>
          </cell>
        </row>
        <row r="660">
          <cell r="A660" t="str">
            <v/>
          </cell>
        </row>
        <row r="661">
          <cell r="A661" t="str">
            <v/>
          </cell>
        </row>
        <row r="662">
          <cell r="A662" t="str">
            <v/>
          </cell>
        </row>
        <row r="663">
          <cell r="A663" t="str">
            <v/>
          </cell>
        </row>
        <row r="664">
          <cell r="A664" t="str">
            <v/>
          </cell>
        </row>
        <row r="665">
          <cell r="A665" t="str">
            <v/>
          </cell>
        </row>
        <row r="666">
          <cell r="A666" t="str">
            <v/>
          </cell>
        </row>
        <row r="667">
          <cell r="A667" t="str">
            <v/>
          </cell>
        </row>
        <row r="668">
          <cell r="A668" t="str">
            <v/>
          </cell>
        </row>
        <row r="669">
          <cell r="A669" t="str">
            <v/>
          </cell>
        </row>
        <row r="670">
          <cell r="A670" t="str">
            <v/>
          </cell>
        </row>
        <row r="671">
          <cell r="A671" t="str">
            <v/>
          </cell>
        </row>
        <row r="672">
          <cell r="A672" t="str">
            <v/>
          </cell>
        </row>
        <row r="673">
          <cell r="A673" t="str">
            <v/>
          </cell>
        </row>
        <row r="674">
          <cell r="A674" t="str">
            <v/>
          </cell>
        </row>
        <row r="675">
          <cell r="A675" t="str">
            <v/>
          </cell>
        </row>
        <row r="676">
          <cell r="A676" t="str">
            <v/>
          </cell>
        </row>
        <row r="677">
          <cell r="A677" t="str">
            <v/>
          </cell>
        </row>
        <row r="678">
          <cell r="A678" t="str">
            <v/>
          </cell>
        </row>
        <row r="679">
          <cell r="A679" t="str">
            <v/>
          </cell>
        </row>
        <row r="680">
          <cell r="A680" t="str">
            <v/>
          </cell>
        </row>
        <row r="681">
          <cell r="A681" t="str">
            <v/>
          </cell>
        </row>
        <row r="682">
          <cell r="A682" t="str">
            <v/>
          </cell>
        </row>
        <row r="683">
          <cell r="A683" t="str">
            <v/>
          </cell>
        </row>
        <row r="684">
          <cell r="A684" t="str">
            <v/>
          </cell>
        </row>
        <row r="685">
          <cell r="A685" t="str">
            <v/>
          </cell>
        </row>
        <row r="686">
          <cell r="A686" t="str">
            <v/>
          </cell>
        </row>
        <row r="687">
          <cell r="A687" t="str">
            <v/>
          </cell>
        </row>
        <row r="688">
          <cell r="A688" t="str">
            <v/>
          </cell>
        </row>
        <row r="689">
          <cell r="A689" t="str">
            <v/>
          </cell>
        </row>
        <row r="690">
          <cell r="A690" t="str">
            <v/>
          </cell>
        </row>
        <row r="691">
          <cell r="A691" t="str">
            <v/>
          </cell>
        </row>
        <row r="692">
          <cell r="A692" t="str">
            <v/>
          </cell>
        </row>
        <row r="693">
          <cell r="A693" t="str">
            <v/>
          </cell>
        </row>
        <row r="694">
          <cell r="A694" t="str">
            <v/>
          </cell>
        </row>
        <row r="695">
          <cell r="A695" t="str">
            <v/>
          </cell>
        </row>
        <row r="696">
          <cell r="A696" t="str">
            <v/>
          </cell>
        </row>
        <row r="697">
          <cell r="A697" t="str">
            <v/>
          </cell>
        </row>
        <row r="698">
          <cell r="A698" t="str">
            <v/>
          </cell>
        </row>
        <row r="699">
          <cell r="A699" t="str">
            <v/>
          </cell>
        </row>
        <row r="700">
          <cell r="A700" t="str">
            <v/>
          </cell>
        </row>
        <row r="701">
          <cell r="A701" t="str">
            <v/>
          </cell>
        </row>
        <row r="702">
          <cell r="A702" t="str">
            <v/>
          </cell>
        </row>
        <row r="703">
          <cell r="A703" t="str">
            <v/>
          </cell>
        </row>
        <row r="704">
          <cell r="A704" t="str">
            <v/>
          </cell>
        </row>
        <row r="705">
          <cell r="A705" t="str">
            <v/>
          </cell>
        </row>
        <row r="706">
          <cell r="A706" t="str">
            <v/>
          </cell>
        </row>
        <row r="707">
          <cell r="A707" t="str">
            <v/>
          </cell>
        </row>
        <row r="708">
          <cell r="A708" t="str">
            <v/>
          </cell>
        </row>
        <row r="709">
          <cell r="A709" t="str">
            <v/>
          </cell>
        </row>
        <row r="710">
          <cell r="A710" t="str">
            <v/>
          </cell>
        </row>
        <row r="711">
          <cell r="A711" t="str">
            <v/>
          </cell>
        </row>
        <row r="712">
          <cell r="A712" t="str">
            <v/>
          </cell>
        </row>
        <row r="713">
          <cell r="A713" t="str">
            <v/>
          </cell>
        </row>
        <row r="714">
          <cell r="A714" t="str">
            <v/>
          </cell>
        </row>
        <row r="715">
          <cell r="A715" t="str">
            <v/>
          </cell>
        </row>
        <row r="716">
          <cell r="A716" t="str">
            <v/>
          </cell>
        </row>
        <row r="717">
          <cell r="A717" t="str">
            <v/>
          </cell>
        </row>
        <row r="718">
          <cell r="A718" t="str">
            <v/>
          </cell>
        </row>
        <row r="719">
          <cell r="A719" t="str">
            <v/>
          </cell>
        </row>
        <row r="720">
          <cell r="A720" t="str">
            <v/>
          </cell>
        </row>
        <row r="721">
          <cell r="A721" t="str">
            <v/>
          </cell>
        </row>
        <row r="722">
          <cell r="A722" t="str">
            <v/>
          </cell>
        </row>
        <row r="723">
          <cell r="A723" t="str">
            <v/>
          </cell>
        </row>
        <row r="724">
          <cell r="A724" t="str">
            <v/>
          </cell>
        </row>
        <row r="725">
          <cell r="A725" t="str">
            <v/>
          </cell>
        </row>
        <row r="726">
          <cell r="A726" t="str">
            <v/>
          </cell>
        </row>
        <row r="727">
          <cell r="A727" t="str">
            <v/>
          </cell>
        </row>
        <row r="728">
          <cell r="A728" t="str">
            <v/>
          </cell>
        </row>
        <row r="729">
          <cell r="A729" t="str">
            <v/>
          </cell>
        </row>
        <row r="730">
          <cell r="A730" t="str">
            <v/>
          </cell>
        </row>
        <row r="731">
          <cell r="A731" t="str">
            <v/>
          </cell>
        </row>
        <row r="732">
          <cell r="A732" t="str">
            <v/>
          </cell>
        </row>
        <row r="733">
          <cell r="A733" t="str">
            <v/>
          </cell>
        </row>
        <row r="734">
          <cell r="A734" t="str">
            <v/>
          </cell>
        </row>
        <row r="735">
          <cell r="A735" t="str">
            <v/>
          </cell>
        </row>
        <row r="736">
          <cell r="A736" t="str">
            <v/>
          </cell>
        </row>
        <row r="737">
          <cell r="A737" t="str">
            <v/>
          </cell>
        </row>
        <row r="738">
          <cell r="A738" t="str">
            <v/>
          </cell>
        </row>
        <row r="739">
          <cell r="A739" t="str">
            <v/>
          </cell>
        </row>
        <row r="740">
          <cell r="A740" t="str">
            <v/>
          </cell>
        </row>
        <row r="741">
          <cell r="A741" t="str">
            <v/>
          </cell>
        </row>
        <row r="742">
          <cell r="A742" t="str">
            <v/>
          </cell>
        </row>
        <row r="743">
          <cell r="A743" t="str">
            <v/>
          </cell>
        </row>
        <row r="744">
          <cell r="A744" t="str">
            <v/>
          </cell>
        </row>
        <row r="745">
          <cell r="A745" t="str">
            <v/>
          </cell>
        </row>
        <row r="746">
          <cell r="A746" t="str">
            <v/>
          </cell>
        </row>
        <row r="747">
          <cell r="A747" t="str">
            <v/>
          </cell>
        </row>
        <row r="748">
          <cell r="A748" t="str">
            <v/>
          </cell>
        </row>
        <row r="749">
          <cell r="A749" t="str">
            <v/>
          </cell>
        </row>
        <row r="750">
          <cell r="A750" t="str">
            <v/>
          </cell>
        </row>
        <row r="751">
          <cell r="A751" t="str">
            <v/>
          </cell>
        </row>
        <row r="752">
          <cell r="A752" t="str">
            <v/>
          </cell>
        </row>
        <row r="753">
          <cell r="A753" t="str">
            <v/>
          </cell>
        </row>
        <row r="754">
          <cell r="A754" t="str">
            <v/>
          </cell>
        </row>
        <row r="755">
          <cell r="A755" t="str">
            <v/>
          </cell>
        </row>
        <row r="756">
          <cell r="A756" t="str">
            <v/>
          </cell>
        </row>
        <row r="757">
          <cell r="A757" t="str">
            <v/>
          </cell>
        </row>
        <row r="758">
          <cell r="A758" t="str">
            <v/>
          </cell>
        </row>
        <row r="759">
          <cell r="A759" t="str">
            <v/>
          </cell>
        </row>
        <row r="760">
          <cell r="A760" t="str">
            <v/>
          </cell>
        </row>
        <row r="761">
          <cell r="A761" t="str">
            <v/>
          </cell>
        </row>
        <row r="762">
          <cell r="A762" t="str">
            <v/>
          </cell>
        </row>
        <row r="763">
          <cell r="A763" t="str">
            <v/>
          </cell>
        </row>
        <row r="764">
          <cell r="A764" t="str">
            <v/>
          </cell>
        </row>
        <row r="765">
          <cell r="A765" t="str">
            <v/>
          </cell>
        </row>
        <row r="766">
          <cell r="A766" t="str">
            <v/>
          </cell>
        </row>
        <row r="767">
          <cell r="A767" t="str">
            <v/>
          </cell>
        </row>
        <row r="768">
          <cell r="A768" t="str">
            <v/>
          </cell>
        </row>
        <row r="769">
          <cell r="A769" t="str">
            <v/>
          </cell>
        </row>
        <row r="770">
          <cell r="A770" t="str">
            <v/>
          </cell>
        </row>
        <row r="771">
          <cell r="A771" t="str">
            <v/>
          </cell>
        </row>
        <row r="772">
          <cell r="A772" t="str">
            <v/>
          </cell>
        </row>
        <row r="773">
          <cell r="A773" t="str">
            <v/>
          </cell>
        </row>
        <row r="774">
          <cell r="A774" t="str">
            <v/>
          </cell>
        </row>
        <row r="775">
          <cell r="A775" t="str">
            <v/>
          </cell>
        </row>
        <row r="776">
          <cell r="A776" t="str">
            <v/>
          </cell>
        </row>
        <row r="777">
          <cell r="A777" t="str">
            <v/>
          </cell>
        </row>
        <row r="778">
          <cell r="A778" t="str">
            <v/>
          </cell>
        </row>
        <row r="779">
          <cell r="A779" t="str">
            <v/>
          </cell>
        </row>
        <row r="780">
          <cell r="A780" t="str">
            <v/>
          </cell>
        </row>
        <row r="781">
          <cell r="A781" t="str">
            <v/>
          </cell>
        </row>
        <row r="782">
          <cell r="A782" t="str">
            <v/>
          </cell>
        </row>
        <row r="783">
          <cell r="A783" t="str">
            <v/>
          </cell>
        </row>
        <row r="784">
          <cell r="A784" t="str">
            <v/>
          </cell>
        </row>
        <row r="785">
          <cell r="A785" t="str">
            <v/>
          </cell>
        </row>
        <row r="786">
          <cell r="A786" t="str">
            <v/>
          </cell>
        </row>
        <row r="787">
          <cell r="A787" t="str">
            <v/>
          </cell>
        </row>
        <row r="788">
          <cell r="A788" t="str">
            <v/>
          </cell>
        </row>
        <row r="789">
          <cell r="A789" t="str">
            <v/>
          </cell>
        </row>
        <row r="790">
          <cell r="A790" t="str">
            <v/>
          </cell>
        </row>
        <row r="791">
          <cell r="A791" t="str">
            <v/>
          </cell>
        </row>
        <row r="792">
          <cell r="A792" t="str">
            <v/>
          </cell>
        </row>
        <row r="793">
          <cell r="A793" t="str">
            <v/>
          </cell>
        </row>
        <row r="794">
          <cell r="A794" t="str">
            <v/>
          </cell>
        </row>
        <row r="795">
          <cell r="A795" t="str">
            <v/>
          </cell>
        </row>
        <row r="796">
          <cell r="A796" t="str">
            <v/>
          </cell>
        </row>
        <row r="797">
          <cell r="A797" t="str">
            <v/>
          </cell>
        </row>
        <row r="798">
          <cell r="A798" t="str">
            <v/>
          </cell>
        </row>
        <row r="799">
          <cell r="A799" t="str">
            <v/>
          </cell>
        </row>
        <row r="800">
          <cell r="A800" t="str">
            <v/>
          </cell>
        </row>
        <row r="801">
          <cell r="A801" t="str">
            <v/>
          </cell>
        </row>
        <row r="802">
          <cell r="A802" t="str">
            <v/>
          </cell>
        </row>
        <row r="803">
          <cell r="A803" t="str">
            <v/>
          </cell>
        </row>
        <row r="804">
          <cell r="A804" t="str">
            <v/>
          </cell>
        </row>
        <row r="805">
          <cell r="A805" t="str">
            <v/>
          </cell>
        </row>
        <row r="806">
          <cell r="A806" t="str">
            <v/>
          </cell>
        </row>
        <row r="807">
          <cell r="A807" t="str">
            <v/>
          </cell>
        </row>
        <row r="808">
          <cell r="A808" t="str">
            <v/>
          </cell>
        </row>
        <row r="809">
          <cell r="A809" t="str">
            <v/>
          </cell>
        </row>
        <row r="810">
          <cell r="A810" t="str">
            <v/>
          </cell>
        </row>
        <row r="811">
          <cell r="A811" t="str">
            <v/>
          </cell>
        </row>
        <row r="812">
          <cell r="A812" t="str">
            <v/>
          </cell>
        </row>
        <row r="813">
          <cell r="A813" t="str">
            <v/>
          </cell>
        </row>
        <row r="814">
          <cell r="A814" t="str">
            <v/>
          </cell>
        </row>
        <row r="815">
          <cell r="A815" t="str">
            <v/>
          </cell>
        </row>
        <row r="816">
          <cell r="A816" t="str">
            <v/>
          </cell>
        </row>
        <row r="817">
          <cell r="A817" t="str">
            <v/>
          </cell>
        </row>
        <row r="818">
          <cell r="A818" t="str">
            <v/>
          </cell>
        </row>
        <row r="819">
          <cell r="A819" t="str">
            <v/>
          </cell>
        </row>
        <row r="820">
          <cell r="A820" t="str">
            <v/>
          </cell>
        </row>
        <row r="821">
          <cell r="A821" t="str">
            <v/>
          </cell>
        </row>
        <row r="822">
          <cell r="A822" t="str">
            <v/>
          </cell>
        </row>
        <row r="823">
          <cell r="A823" t="str">
            <v/>
          </cell>
        </row>
        <row r="824">
          <cell r="A824" t="str">
            <v/>
          </cell>
        </row>
        <row r="825">
          <cell r="A825" t="str">
            <v/>
          </cell>
        </row>
        <row r="826">
          <cell r="A826" t="str">
            <v/>
          </cell>
        </row>
        <row r="827">
          <cell r="A827" t="str">
            <v/>
          </cell>
        </row>
        <row r="828">
          <cell r="A828" t="str">
            <v/>
          </cell>
        </row>
        <row r="829">
          <cell r="A829" t="str">
            <v/>
          </cell>
        </row>
        <row r="830">
          <cell r="A830" t="str">
            <v/>
          </cell>
        </row>
        <row r="831">
          <cell r="A831" t="str">
            <v/>
          </cell>
        </row>
        <row r="832">
          <cell r="A832" t="str">
            <v/>
          </cell>
        </row>
        <row r="833">
          <cell r="A833" t="str">
            <v/>
          </cell>
        </row>
        <row r="834">
          <cell r="A834" t="str">
            <v/>
          </cell>
        </row>
        <row r="835">
          <cell r="A835" t="str">
            <v/>
          </cell>
        </row>
        <row r="836">
          <cell r="A836" t="str">
            <v/>
          </cell>
        </row>
        <row r="837">
          <cell r="A837" t="str">
            <v/>
          </cell>
        </row>
        <row r="838">
          <cell r="A838" t="str">
            <v/>
          </cell>
        </row>
        <row r="839">
          <cell r="A839" t="str">
            <v/>
          </cell>
        </row>
        <row r="840">
          <cell r="A840" t="str">
            <v/>
          </cell>
        </row>
        <row r="841">
          <cell r="A841" t="str">
            <v/>
          </cell>
        </row>
        <row r="842">
          <cell r="A842" t="str">
            <v/>
          </cell>
        </row>
        <row r="843">
          <cell r="A843" t="str">
            <v/>
          </cell>
        </row>
        <row r="844">
          <cell r="A844" t="str">
            <v/>
          </cell>
        </row>
        <row r="845">
          <cell r="A845" t="str">
            <v/>
          </cell>
        </row>
        <row r="846">
          <cell r="A846" t="str">
            <v/>
          </cell>
        </row>
        <row r="847">
          <cell r="A847" t="str">
            <v/>
          </cell>
        </row>
        <row r="848">
          <cell r="A848" t="str">
            <v/>
          </cell>
        </row>
        <row r="849">
          <cell r="A849" t="str">
            <v/>
          </cell>
        </row>
        <row r="850">
          <cell r="A850" t="str">
            <v/>
          </cell>
        </row>
        <row r="851">
          <cell r="A851" t="str">
            <v/>
          </cell>
        </row>
        <row r="852">
          <cell r="A852" t="str">
            <v/>
          </cell>
        </row>
        <row r="853">
          <cell r="A853" t="str">
            <v/>
          </cell>
        </row>
        <row r="854">
          <cell r="A854" t="str">
            <v/>
          </cell>
        </row>
        <row r="855">
          <cell r="A855" t="str">
            <v/>
          </cell>
        </row>
        <row r="856">
          <cell r="A856" t="str">
            <v/>
          </cell>
        </row>
        <row r="857">
          <cell r="A857" t="str">
            <v/>
          </cell>
        </row>
        <row r="858">
          <cell r="A858" t="str">
            <v/>
          </cell>
        </row>
        <row r="859">
          <cell r="A859" t="str">
            <v/>
          </cell>
        </row>
        <row r="860">
          <cell r="A860" t="str">
            <v/>
          </cell>
        </row>
        <row r="861">
          <cell r="A861" t="str">
            <v/>
          </cell>
        </row>
        <row r="862">
          <cell r="A862" t="str">
            <v/>
          </cell>
        </row>
        <row r="863">
          <cell r="A863" t="str">
            <v/>
          </cell>
        </row>
        <row r="864">
          <cell r="A864" t="str">
            <v/>
          </cell>
        </row>
        <row r="865">
          <cell r="A865" t="str">
            <v/>
          </cell>
        </row>
        <row r="866">
          <cell r="A866" t="str">
            <v/>
          </cell>
        </row>
        <row r="867">
          <cell r="A867" t="str">
            <v/>
          </cell>
        </row>
        <row r="868">
          <cell r="A868" t="str">
            <v/>
          </cell>
        </row>
        <row r="869">
          <cell r="A869" t="str">
            <v/>
          </cell>
        </row>
        <row r="870">
          <cell r="A870" t="str">
            <v/>
          </cell>
        </row>
        <row r="871">
          <cell r="A871" t="str">
            <v/>
          </cell>
        </row>
        <row r="872">
          <cell r="A872" t="str">
            <v/>
          </cell>
        </row>
        <row r="873">
          <cell r="A873" t="str">
            <v/>
          </cell>
        </row>
        <row r="874">
          <cell r="A874" t="str">
            <v/>
          </cell>
        </row>
        <row r="875">
          <cell r="A875" t="str">
            <v/>
          </cell>
        </row>
        <row r="876">
          <cell r="A876" t="str">
            <v/>
          </cell>
        </row>
        <row r="877">
          <cell r="A877" t="str">
            <v/>
          </cell>
        </row>
        <row r="878">
          <cell r="A878" t="str">
            <v/>
          </cell>
        </row>
        <row r="879">
          <cell r="A879" t="str">
            <v/>
          </cell>
        </row>
        <row r="880">
          <cell r="A880" t="str">
            <v/>
          </cell>
        </row>
        <row r="881">
          <cell r="A881" t="str">
            <v/>
          </cell>
        </row>
        <row r="882">
          <cell r="A882" t="str">
            <v/>
          </cell>
        </row>
        <row r="883">
          <cell r="A883" t="str">
            <v/>
          </cell>
        </row>
        <row r="884">
          <cell r="A884" t="str">
            <v/>
          </cell>
        </row>
        <row r="885">
          <cell r="A885" t="str">
            <v/>
          </cell>
        </row>
        <row r="886">
          <cell r="A886" t="str">
            <v/>
          </cell>
        </row>
        <row r="887">
          <cell r="A887" t="str">
            <v/>
          </cell>
        </row>
        <row r="888">
          <cell r="A888" t="str">
            <v/>
          </cell>
        </row>
        <row r="889">
          <cell r="A889" t="str">
            <v/>
          </cell>
        </row>
        <row r="890">
          <cell r="A890" t="str">
            <v/>
          </cell>
        </row>
        <row r="891">
          <cell r="A891" t="str">
            <v/>
          </cell>
        </row>
        <row r="892">
          <cell r="A892" t="str">
            <v/>
          </cell>
        </row>
        <row r="893">
          <cell r="A893" t="str">
            <v/>
          </cell>
        </row>
        <row r="894">
          <cell r="A894" t="str">
            <v/>
          </cell>
        </row>
        <row r="895">
          <cell r="A895" t="str">
            <v/>
          </cell>
        </row>
        <row r="896">
          <cell r="A896" t="str">
            <v/>
          </cell>
        </row>
        <row r="897">
          <cell r="A897" t="str">
            <v/>
          </cell>
        </row>
        <row r="898">
          <cell r="A898" t="str">
            <v/>
          </cell>
        </row>
        <row r="899">
          <cell r="A899" t="str">
            <v/>
          </cell>
        </row>
        <row r="900">
          <cell r="A900" t="str">
            <v/>
          </cell>
        </row>
        <row r="901">
          <cell r="A901" t="str">
            <v/>
          </cell>
        </row>
        <row r="902">
          <cell r="A902" t="str">
            <v/>
          </cell>
        </row>
        <row r="903">
          <cell r="A903" t="str">
            <v/>
          </cell>
        </row>
        <row r="904">
          <cell r="A904" t="str">
            <v/>
          </cell>
        </row>
        <row r="905">
          <cell r="A905" t="str">
            <v/>
          </cell>
        </row>
        <row r="906">
          <cell r="A906" t="str">
            <v/>
          </cell>
        </row>
        <row r="907">
          <cell r="A907" t="str">
            <v/>
          </cell>
        </row>
        <row r="908">
          <cell r="A908" t="str">
            <v/>
          </cell>
        </row>
        <row r="909">
          <cell r="A909" t="str">
            <v/>
          </cell>
        </row>
        <row r="910">
          <cell r="A910" t="str">
            <v/>
          </cell>
        </row>
        <row r="911">
          <cell r="A911" t="str">
            <v/>
          </cell>
        </row>
        <row r="912">
          <cell r="A912" t="str">
            <v/>
          </cell>
        </row>
        <row r="913">
          <cell r="A913" t="str">
            <v/>
          </cell>
        </row>
        <row r="914">
          <cell r="A914" t="str">
            <v/>
          </cell>
        </row>
        <row r="915">
          <cell r="A915" t="str">
            <v/>
          </cell>
        </row>
        <row r="916">
          <cell r="A916" t="str">
            <v/>
          </cell>
        </row>
        <row r="917">
          <cell r="A917" t="str">
            <v/>
          </cell>
        </row>
        <row r="918">
          <cell r="A918" t="str">
            <v/>
          </cell>
        </row>
        <row r="919">
          <cell r="A919" t="str">
            <v/>
          </cell>
        </row>
        <row r="920">
          <cell r="A920" t="str">
            <v/>
          </cell>
        </row>
        <row r="921">
          <cell r="A921" t="str">
            <v/>
          </cell>
        </row>
        <row r="922">
          <cell r="A922" t="str">
            <v/>
          </cell>
        </row>
        <row r="923">
          <cell r="A923" t="str">
            <v/>
          </cell>
        </row>
        <row r="924">
          <cell r="A924" t="str">
            <v/>
          </cell>
        </row>
        <row r="925">
          <cell r="A925" t="str">
            <v/>
          </cell>
        </row>
        <row r="926">
          <cell r="A926" t="str">
            <v/>
          </cell>
        </row>
        <row r="927">
          <cell r="A927" t="str">
            <v/>
          </cell>
        </row>
        <row r="928">
          <cell r="A928" t="str">
            <v/>
          </cell>
        </row>
        <row r="929">
          <cell r="A929" t="str">
            <v/>
          </cell>
        </row>
        <row r="930">
          <cell r="A930" t="str">
            <v/>
          </cell>
        </row>
        <row r="931">
          <cell r="A931" t="str">
            <v/>
          </cell>
        </row>
        <row r="932">
          <cell r="A932" t="str">
            <v/>
          </cell>
        </row>
        <row r="933">
          <cell r="A933" t="str">
            <v/>
          </cell>
        </row>
        <row r="934">
          <cell r="A934" t="str">
            <v/>
          </cell>
        </row>
        <row r="935">
          <cell r="A935" t="str">
            <v/>
          </cell>
        </row>
        <row r="936">
          <cell r="A936" t="str">
            <v/>
          </cell>
        </row>
        <row r="937">
          <cell r="A937" t="str">
            <v/>
          </cell>
        </row>
        <row r="938">
          <cell r="A938" t="str">
            <v/>
          </cell>
        </row>
        <row r="939">
          <cell r="A939" t="str">
            <v/>
          </cell>
        </row>
        <row r="940">
          <cell r="A940" t="str">
            <v/>
          </cell>
        </row>
        <row r="941">
          <cell r="A941" t="str">
            <v/>
          </cell>
        </row>
        <row r="942">
          <cell r="A942" t="str">
            <v/>
          </cell>
        </row>
        <row r="943">
          <cell r="A943" t="str">
            <v/>
          </cell>
        </row>
        <row r="944">
          <cell r="A944" t="str">
            <v/>
          </cell>
        </row>
        <row r="945">
          <cell r="A945" t="str">
            <v/>
          </cell>
        </row>
        <row r="946">
          <cell r="A946" t="str">
            <v/>
          </cell>
        </row>
        <row r="947">
          <cell r="A947" t="str">
            <v/>
          </cell>
        </row>
        <row r="948">
          <cell r="A948" t="str">
            <v/>
          </cell>
        </row>
        <row r="949">
          <cell r="A949" t="str">
            <v/>
          </cell>
        </row>
        <row r="950">
          <cell r="A950" t="str">
            <v/>
          </cell>
        </row>
        <row r="951">
          <cell r="A951" t="str">
            <v/>
          </cell>
        </row>
        <row r="952">
          <cell r="A952" t="str">
            <v/>
          </cell>
        </row>
        <row r="953">
          <cell r="A953" t="str">
            <v/>
          </cell>
        </row>
        <row r="954">
          <cell r="A954" t="str">
            <v/>
          </cell>
        </row>
        <row r="955">
          <cell r="A955" t="str">
            <v/>
          </cell>
        </row>
        <row r="956">
          <cell r="A956" t="str">
            <v/>
          </cell>
        </row>
        <row r="957">
          <cell r="A957" t="str">
            <v/>
          </cell>
        </row>
        <row r="958">
          <cell r="A958" t="str">
            <v/>
          </cell>
        </row>
        <row r="959">
          <cell r="A959" t="str">
            <v/>
          </cell>
        </row>
        <row r="960">
          <cell r="A960" t="str">
            <v/>
          </cell>
        </row>
        <row r="961">
          <cell r="A961" t="str">
            <v/>
          </cell>
        </row>
        <row r="962">
          <cell r="A962" t="str">
            <v/>
          </cell>
        </row>
        <row r="963">
          <cell r="A963" t="str">
            <v/>
          </cell>
        </row>
        <row r="964">
          <cell r="A964" t="str">
            <v/>
          </cell>
        </row>
        <row r="965">
          <cell r="A965" t="str">
            <v/>
          </cell>
        </row>
        <row r="966">
          <cell r="A966" t="str">
            <v/>
          </cell>
        </row>
        <row r="967">
          <cell r="A967" t="str">
            <v/>
          </cell>
        </row>
        <row r="968">
          <cell r="A968" t="str">
            <v/>
          </cell>
        </row>
        <row r="969">
          <cell r="A969" t="str">
            <v/>
          </cell>
        </row>
        <row r="970">
          <cell r="A970" t="str">
            <v/>
          </cell>
        </row>
        <row r="971">
          <cell r="A971" t="str">
            <v/>
          </cell>
        </row>
        <row r="972">
          <cell r="A972" t="str">
            <v/>
          </cell>
        </row>
        <row r="973">
          <cell r="A973" t="str">
            <v/>
          </cell>
        </row>
        <row r="974">
          <cell r="A974" t="str">
            <v/>
          </cell>
        </row>
        <row r="975">
          <cell r="A975" t="str">
            <v/>
          </cell>
        </row>
        <row r="976">
          <cell r="A976" t="str">
            <v/>
          </cell>
        </row>
        <row r="977">
          <cell r="A977" t="str">
            <v/>
          </cell>
        </row>
        <row r="978">
          <cell r="A978" t="str">
            <v/>
          </cell>
        </row>
        <row r="979">
          <cell r="A979" t="str">
            <v/>
          </cell>
        </row>
        <row r="980">
          <cell r="A980" t="str">
            <v/>
          </cell>
        </row>
        <row r="981">
          <cell r="A981" t="str">
            <v/>
          </cell>
        </row>
        <row r="982">
          <cell r="A982" t="str">
            <v/>
          </cell>
        </row>
        <row r="983">
          <cell r="A983" t="str">
            <v/>
          </cell>
        </row>
        <row r="984">
          <cell r="A984" t="str">
            <v/>
          </cell>
        </row>
        <row r="985">
          <cell r="A985" t="str">
            <v/>
          </cell>
        </row>
        <row r="986">
          <cell r="A986" t="str">
            <v/>
          </cell>
        </row>
        <row r="987">
          <cell r="A987" t="str">
            <v/>
          </cell>
        </row>
        <row r="988">
          <cell r="A988" t="str">
            <v/>
          </cell>
        </row>
        <row r="989">
          <cell r="A989" t="str">
            <v/>
          </cell>
        </row>
        <row r="990">
          <cell r="A990" t="str">
            <v/>
          </cell>
        </row>
        <row r="991">
          <cell r="A991" t="str">
            <v/>
          </cell>
        </row>
        <row r="992">
          <cell r="A992" t="str">
            <v/>
          </cell>
        </row>
        <row r="993">
          <cell r="A993" t="str">
            <v/>
          </cell>
        </row>
        <row r="994">
          <cell r="A994" t="str">
            <v/>
          </cell>
        </row>
        <row r="995">
          <cell r="A995" t="str">
            <v/>
          </cell>
        </row>
        <row r="996">
          <cell r="A996" t="str">
            <v/>
          </cell>
        </row>
        <row r="997">
          <cell r="A997" t="str">
            <v/>
          </cell>
        </row>
        <row r="998">
          <cell r="A998" t="str">
            <v/>
          </cell>
        </row>
        <row r="999">
          <cell r="A999" t="str">
            <v/>
          </cell>
        </row>
        <row r="1000">
          <cell r="A1000" t="str">
            <v/>
          </cell>
        </row>
        <row r="1001">
          <cell r="A1001" t="str">
            <v/>
          </cell>
        </row>
        <row r="1002">
          <cell r="A1002" t="str">
            <v/>
          </cell>
        </row>
        <row r="1003">
          <cell r="A1003" t="str">
            <v/>
          </cell>
        </row>
        <row r="1004">
          <cell r="A1004" t="str">
            <v/>
          </cell>
        </row>
        <row r="1005">
          <cell r="A1005" t="str">
            <v/>
          </cell>
        </row>
        <row r="1006">
          <cell r="A1006" t="str">
            <v/>
          </cell>
        </row>
        <row r="1007">
          <cell r="A1007" t="str">
            <v/>
          </cell>
        </row>
        <row r="1008">
          <cell r="A1008" t="str">
            <v/>
          </cell>
        </row>
        <row r="1009">
          <cell r="A1009" t="str">
            <v/>
          </cell>
        </row>
        <row r="1010">
          <cell r="A1010" t="str">
            <v/>
          </cell>
        </row>
        <row r="1011">
          <cell r="A1011" t="str">
            <v/>
          </cell>
        </row>
        <row r="1012">
          <cell r="A1012" t="str">
            <v/>
          </cell>
        </row>
        <row r="1013">
          <cell r="A1013" t="str">
            <v/>
          </cell>
        </row>
        <row r="1014">
          <cell r="A1014" t="str">
            <v/>
          </cell>
        </row>
        <row r="1015">
          <cell r="A1015" t="str">
            <v/>
          </cell>
        </row>
        <row r="1016">
          <cell r="A1016" t="str">
            <v/>
          </cell>
        </row>
        <row r="1017">
          <cell r="A1017" t="str">
            <v/>
          </cell>
        </row>
        <row r="1018">
          <cell r="A1018" t="str">
            <v/>
          </cell>
        </row>
        <row r="1019">
          <cell r="A1019" t="str">
            <v/>
          </cell>
        </row>
        <row r="1020">
          <cell r="A1020" t="str">
            <v/>
          </cell>
        </row>
        <row r="1021">
          <cell r="A1021" t="str">
            <v/>
          </cell>
        </row>
        <row r="1022">
          <cell r="A1022" t="str">
            <v/>
          </cell>
        </row>
        <row r="1023">
          <cell r="A1023" t="str">
            <v/>
          </cell>
        </row>
        <row r="1024">
          <cell r="A1024" t="str">
            <v/>
          </cell>
        </row>
        <row r="1025">
          <cell r="A1025" t="str">
            <v/>
          </cell>
        </row>
        <row r="1026">
          <cell r="A1026" t="str">
            <v/>
          </cell>
        </row>
        <row r="1027">
          <cell r="A1027" t="str">
            <v/>
          </cell>
        </row>
        <row r="1028">
          <cell r="A1028" t="str">
            <v/>
          </cell>
        </row>
        <row r="1029">
          <cell r="A1029" t="str">
            <v/>
          </cell>
        </row>
        <row r="1030">
          <cell r="A1030" t="str">
            <v/>
          </cell>
        </row>
        <row r="1031">
          <cell r="A1031" t="str">
            <v/>
          </cell>
        </row>
        <row r="1032">
          <cell r="A1032" t="str">
            <v/>
          </cell>
        </row>
        <row r="1033">
          <cell r="A1033" t="str">
            <v/>
          </cell>
        </row>
        <row r="1034">
          <cell r="A1034" t="str">
            <v/>
          </cell>
        </row>
        <row r="1035">
          <cell r="A1035" t="str">
            <v/>
          </cell>
        </row>
        <row r="1036">
          <cell r="A1036" t="str">
            <v/>
          </cell>
        </row>
        <row r="1037">
          <cell r="A1037" t="str">
            <v/>
          </cell>
        </row>
        <row r="1038">
          <cell r="A1038" t="str">
            <v/>
          </cell>
        </row>
        <row r="1039">
          <cell r="A1039" t="str">
            <v/>
          </cell>
        </row>
        <row r="1040">
          <cell r="A1040" t="str">
            <v/>
          </cell>
        </row>
        <row r="1041">
          <cell r="A1041" t="str">
            <v/>
          </cell>
        </row>
        <row r="1042">
          <cell r="A1042" t="str">
            <v/>
          </cell>
        </row>
        <row r="1043">
          <cell r="A1043" t="str">
            <v/>
          </cell>
        </row>
        <row r="1044">
          <cell r="A1044" t="str">
            <v/>
          </cell>
        </row>
        <row r="1045">
          <cell r="A1045" t="str">
            <v/>
          </cell>
        </row>
        <row r="1046">
          <cell r="A1046" t="str">
            <v/>
          </cell>
        </row>
        <row r="1047">
          <cell r="A1047" t="str">
            <v/>
          </cell>
        </row>
        <row r="1048">
          <cell r="A1048" t="str">
            <v/>
          </cell>
        </row>
        <row r="1049">
          <cell r="A1049" t="str">
            <v/>
          </cell>
        </row>
        <row r="1050">
          <cell r="A1050" t="str">
            <v/>
          </cell>
        </row>
        <row r="1051">
          <cell r="A1051" t="str">
            <v/>
          </cell>
        </row>
        <row r="1052">
          <cell r="A1052" t="str">
            <v/>
          </cell>
        </row>
        <row r="1053">
          <cell r="A1053" t="str">
            <v/>
          </cell>
        </row>
        <row r="1054">
          <cell r="A1054" t="str">
            <v/>
          </cell>
        </row>
        <row r="1055">
          <cell r="A1055" t="str">
            <v/>
          </cell>
        </row>
        <row r="1056">
          <cell r="A1056" t="str">
            <v/>
          </cell>
        </row>
        <row r="1057">
          <cell r="A1057" t="str">
            <v/>
          </cell>
        </row>
        <row r="1058">
          <cell r="A1058" t="str">
            <v/>
          </cell>
        </row>
        <row r="1059">
          <cell r="A1059" t="str">
            <v/>
          </cell>
        </row>
        <row r="1060">
          <cell r="A1060" t="str">
            <v/>
          </cell>
        </row>
        <row r="1061">
          <cell r="A1061" t="str">
            <v/>
          </cell>
        </row>
        <row r="1062">
          <cell r="A1062" t="str">
            <v/>
          </cell>
        </row>
        <row r="1063">
          <cell r="A1063" t="str">
            <v/>
          </cell>
        </row>
        <row r="1064">
          <cell r="A1064" t="str">
            <v/>
          </cell>
        </row>
        <row r="1065">
          <cell r="A1065" t="str">
            <v/>
          </cell>
        </row>
        <row r="1066">
          <cell r="A1066" t="str">
            <v/>
          </cell>
        </row>
        <row r="1067">
          <cell r="A1067" t="str">
            <v/>
          </cell>
        </row>
        <row r="1068">
          <cell r="A1068" t="str">
            <v/>
          </cell>
        </row>
        <row r="1069">
          <cell r="A1069" t="str">
            <v/>
          </cell>
        </row>
        <row r="1070">
          <cell r="A1070" t="str">
            <v/>
          </cell>
        </row>
        <row r="1071">
          <cell r="A1071" t="str">
            <v/>
          </cell>
        </row>
        <row r="1072">
          <cell r="A1072" t="str">
            <v/>
          </cell>
        </row>
        <row r="1073">
          <cell r="A1073" t="str">
            <v/>
          </cell>
        </row>
        <row r="1074">
          <cell r="A1074" t="str">
            <v/>
          </cell>
        </row>
        <row r="1075">
          <cell r="A1075" t="str">
            <v/>
          </cell>
        </row>
        <row r="1076">
          <cell r="A1076" t="str">
            <v/>
          </cell>
        </row>
        <row r="1077">
          <cell r="A1077" t="str">
            <v/>
          </cell>
        </row>
        <row r="1078">
          <cell r="A1078" t="str">
            <v/>
          </cell>
        </row>
        <row r="1079">
          <cell r="A1079" t="str">
            <v/>
          </cell>
        </row>
        <row r="1080">
          <cell r="A1080" t="str">
            <v/>
          </cell>
        </row>
        <row r="1081">
          <cell r="A1081" t="str">
            <v/>
          </cell>
        </row>
        <row r="1082">
          <cell r="A1082" t="str">
            <v/>
          </cell>
        </row>
        <row r="1083">
          <cell r="A1083" t="str">
            <v/>
          </cell>
        </row>
        <row r="1084">
          <cell r="A1084" t="str">
            <v/>
          </cell>
        </row>
        <row r="1085">
          <cell r="A1085" t="str">
            <v/>
          </cell>
        </row>
        <row r="1086">
          <cell r="A1086" t="str">
            <v/>
          </cell>
        </row>
        <row r="1087">
          <cell r="A1087" t="str">
            <v/>
          </cell>
        </row>
        <row r="1088">
          <cell r="A1088" t="str">
            <v/>
          </cell>
        </row>
        <row r="1089">
          <cell r="A1089" t="str">
            <v/>
          </cell>
        </row>
        <row r="1090">
          <cell r="A1090" t="str">
            <v/>
          </cell>
        </row>
        <row r="1091">
          <cell r="A1091" t="str">
            <v/>
          </cell>
        </row>
        <row r="1092">
          <cell r="A1092" t="str">
            <v/>
          </cell>
        </row>
        <row r="1093">
          <cell r="A1093" t="str">
            <v/>
          </cell>
        </row>
        <row r="1094">
          <cell r="A1094" t="str">
            <v/>
          </cell>
        </row>
        <row r="1095">
          <cell r="A1095" t="str">
            <v/>
          </cell>
        </row>
        <row r="1096">
          <cell r="A1096" t="str">
            <v/>
          </cell>
        </row>
        <row r="1097">
          <cell r="A1097" t="str">
            <v/>
          </cell>
        </row>
        <row r="1098">
          <cell r="A1098" t="str">
            <v/>
          </cell>
        </row>
        <row r="1099">
          <cell r="A1099" t="str">
            <v/>
          </cell>
        </row>
        <row r="1100">
          <cell r="A1100" t="str">
            <v/>
          </cell>
        </row>
        <row r="1101">
          <cell r="A1101" t="str">
            <v/>
          </cell>
        </row>
        <row r="1102">
          <cell r="A1102" t="str">
            <v/>
          </cell>
        </row>
        <row r="1103">
          <cell r="A1103" t="str">
            <v/>
          </cell>
        </row>
        <row r="1104">
          <cell r="A1104" t="str">
            <v/>
          </cell>
        </row>
        <row r="1105">
          <cell r="A1105" t="str">
            <v/>
          </cell>
        </row>
        <row r="1106">
          <cell r="A1106" t="str">
            <v/>
          </cell>
        </row>
        <row r="1107">
          <cell r="A1107" t="str">
            <v/>
          </cell>
        </row>
        <row r="1108">
          <cell r="A1108" t="str">
            <v/>
          </cell>
        </row>
        <row r="1109">
          <cell r="A1109" t="str">
            <v/>
          </cell>
        </row>
        <row r="1110">
          <cell r="A1110" t="str">
            <v/>
          </cell>
        </row>
        <row r="1111">
          <cell r="A1111" t="str">
            <v/>
          </cell>
        </row>
        <row r="1112">
          <cell r="A1112" t="str">
            <v/>
          </cell>
        </row>
        <row r="1113">
          <cell r="A1113" t="str">
            <v/>
          </cell>
        </row>
        <row r="1114">
          <cell r="A1114" t="str">
            <v/>
          </cell>
        </row>
        <row r="1115">
          <cell r="A1115" t="str">
            <v/>
          </cell>
        </row>
        <row r="1116">
          <cell r="A1116" t="str">
            <v/>
          </cell>
        </row>
        <row r="1117">
          <cell r="A1117" t="str">
            <v/>
          </cell>
        </row>
        <row r="1118">
          <cell r="A1118" t="str">
            <v/>
          </cell>
        </row>
        <row r="1119">
          <cell r="A1119" t="str">
            <v/>
          </cell>
        </row>
        <row r="1120">
          <cell r="A1120" t="str">
            <v/>
          </cell>
        </row>
        <row r="1121">
          <cell r="A1121" t="str">
            <v/>
          </cell>
        </row>
        <row r="1122">
          <cell r="A1122" t="str">
            <v/>
          </cell>
        </row>
        <row r="1123">
          <cell r="A1123" t="str">
            <v/>
          </cell>
        </row>
        <row r="1124">
          <cell r="A1124" t="str">
            <v/>
          </cell>
        </row>
        <row r="1125">
          <cell r="A1125" t="str">
            <v/>
          </cell>
        </row>
        <row r="1126">
          <cell r="A1126" t="str">
            <v/>
          </cell>
        </row>
        <row r="1127">
          <cell r="A1127" t="str">
            <v/>
          </cell>
        </row>
        <row r="1128">
          <cell r="A1128" t="str">
            <v/>
          </cell>
        </row>
        <row r="1129">
          <cell r="A1129" t="str">
            <v/>
          </cell>
        </row>
        <row r="1130">
          <cell r="A1130" t="str">
            <v/>
          </cell>
        </row>
        <row r="1131">
          <cell r="A1131" t="str">
            <v/>
          </cell>
        </row>
        <row r="1132">
          <cell r="A1132" t="str">
            <v/>
          </cell>
        </row>
        <row r="1133">
          <cell r="A1133" t="str">
            <v/>
          </cell>
        </row>
        <row r="1134">
          <cell r="A1134" t="str">
            <v/>
          </cell>
        </row>
        <row r="1135">
          <cell r="A1135" t="str">
            <v/>
          </cell>
        </row>
        <row r="1136">
          <cell r="A1136" t="str">
            <v/>
          </cell>
        </row>
        <row r="1137">
          <cell r="A1137" t="str">
            <v/>
          </cell>
        </row>
        <row r="1138">
          <cell r="A1138" t="str">
            <v/>
          </cell>
        </row>
        <row r="1139">
          <cell r="A1139" t="str">
            <v/>
          </cell>
        </row>
        <row r="1140">
          <cell r="A1140" t="str">
            <v/>
          </cell>
        </row>
        <row r="1141">
          <cell r="A1141" t="str">
            <v/>
          </cell>
        </row>
        <row r="1142">
          <cell r="A1142" t="str">
            <v/>
          </cell>
        </row>
        <row r="1143">
          <cell r="A1143" t="str">
            <v/>
          </cell>
        </row>
        <row r="1144">
          <cell r="A1144" t="str">
            <v/>
          </cell>
        </row>
        <row r="1145">
          <cell r="A1145" t="str">
            <v/>
          </cell>
        </row>
        <row r="1146">
          <cell r="A1146" t="str">
            <v/>
          </cell>
        </row>
        <row r="1147">
          <cell r="A1147" t="str">
            <v/>
          </cell>
        </row>
        <row r="1148">
          <cell r="A1148" t="str">
            <v/>
          </cell>
        </row>
        <row r="1149">
          <cell r="A1149" t="str">
            <v/>
          </cell>
        </row>
        <row r="1150">
          <cell r="A1150" t="str">
            <v/>
          </cell>
        </row>
        <row r="1151">
          <cell r="A1151" t="str">
            <v/>
          </cell>
        </row>
        <row r="1152">
          <cell r="A1152" t="str">
            <v/>
          </cell>
        </row>
        <row r="1153">
          <cell r="A1153" t="str">
            <v/>
          </cell>
        </row>
        <row r="1154">
          <cell r="A1154" t="str">
            <v/>
          </cell>
        </row>
        <row r="1155">
          <cell r="A1155" t="str">
            <v/>
          </cell>
        </row>
        <row r="1156">
          <cell r="A1156" t="str">
            <v/>
          </cell>
        </row>
        <row r="1157">
          <cell r="A1157" t="str">
            <v/>
          </cell>
        </row>
        <row r="1158">
          <cell r="A1158" t="str">
            <v/>
          </cell>
        </row>
        <row r="1159">
          <cell r="A1159" t="str">
            <v/>
          </cell>
        </row>
        <row r="1160">
          <cell r="A1160" t="str">
            <v/>
          </cell>
        </row>
        <row r="1161">
          <cell r="A1161" t="str">
            <v/>
          </cell>
        </row>
        <row r="1162">
          <cell r="A1162" t="str">
            <v/>
          </cell>
        </row>
        <row r="1163">
          <cell r="A1163" t="str">
            <v/>
          </cell>
        </row>
        <row r="1164">
          <cell r="A1164" t="str">
            <v/>
          </cell>
        </row>
        <row r="1165">
          <cell r="A1165" t="str">
            <v/>
          </cell>
        </row>
        <row r="1166">
          <cell r="A1166" t="str">
            <v/>
          </cell>
        </row>
        <row r="1167">
          <cell r="A1167" t="str">
            <v/>
          </cell>
        </row>
        <row r="1168">
          <cell r="A1168" t="str">
            <v/>
          </cell>
        </row>
        <row r="1169">
          <cell r="A1169" t="str">
            <v/>
          </cell>
        </row>
        <row r="1170">
          <cell r="A1170" t="str">
            <v/>
          </cell>
        </row>
        <row r="1171">
          <cell r="A1171" t="str">
            <v/>
          </cell>
        </row>
        <row r="1172">
          <cell r="A1172" t="str">
            <v/>
          </cell>
        </row>
        <row r="1173">
          <cell r="A1173" t="str">
            <v/>
          </cell>
        </row>
        <row r="1174">
          <cell r="A1174" t="str">
            <v/>
          </cell>
        </row>
        <row r="1175">
          <cell r="A1175" t="str">
            <v/>
          </cell>
        </row>
        <row r="1176">
          <cell r="A1176" t="str">
            <v/>
          </cell>
        </row>
        <row r="1177">
          <cell r="A1177" t="str">
            <v/>
          </cell>
        </row>
        <row r="1178">
          <cell r="A1178" t="str">
            <v/>
          </cell>
        </row>
        <row r="1179">
          <cell r="A1179" t="str">
            <v/>
          </cell>
        </row>
        <row r="1180">
          <cell r="A1180" t="str">
            <v/>
          </cell>
        </row>
        <row r="1181">
          <cell r="A1181" t="str">
            <v/>
          </cell>
        </row>
        <row r="1182">
          <cell r="A1182" t="str">
            <v/>
          </cell>
        </row>
        <row r="1183">
          <cell r="A1183" t="str">
            <v/>
          </cell>
        </row>
        <row r="1184">
          <cell r="A1184" t="str">
            <v/>
          </cell>
        </row>
        <row r="1185">
          <cell r="A1185" t="str">
            <v/>
          </cell>
        </row>
        <row r="1186">
          <cell r="A1186" t="str">
            <v/>
          </cell>
        </row>
        <row r="1187">
          <cell r="A1187" t="str">
            <v/>
          </cell>
        </row>
        <row r="1188">
          <cell r="A1188" t="str">
            <v/>
          </cell>
        </row>
        <row r="1189">
          <cell r="A1189" t="str">
            <v/>
          </cell>
        </row>
        <row r="1190">
          <cell r="A1190" t="str">
            <v/>
          </cell>
        </row>
        <row r="1191">
          <cell r="A1191" t="str">
            <v/>
          </cell>
        </row>
        <row r="1192">
          <cell r="A1192" t="str">
            <v/>
          </cell>
        </row>
        <row r="1193">
          <cell r="A1193" t="str">
            <v/>
          </cell>
        </row>
        <row r="1194">
          <cell r="A1194" t="str">
            <v/>
          </cell>
        </row>
        <row r="1195">
          <cell r="A1195" t="str">
            <v/>
          </cell>
        </row>
        <row r="1196">
          <cell r="A1196" t="str">
            <v/>
          </cell>
        </row>
        <row r="1197">
          <cell r="A1197" t="str">
            <v/>
          </cell>
        </row>
        <row r="1198">
          <cell r="A1198" t="str">
            <v/>
          </cell>
        </row>
        <row r="1199">
          <cell r="A1199" t="str">
            <v/>
          </cell>
        </row>
        <row r="1200">
          <cell r="A1200" t="str">
            <v/>
          </cell>
        </row>
        <row r="1201">
          <cell r="A1201" t="str">
            <v/>
          </cell>
        </row>
        <row r="1202">
          <cell r="A1202" t="str">
            <v/>
          </cell>
        </row>
        <row r="1203">
          <cell r="A1203" t="str">
            <v/>
          </cell>
        </row>
        <row r="1204">
          <cell r="A1204" t="str">
            <v/>
          </cell>
        </row>
        <row r="1205">
          <cell r="A1205" t="str">
            <v/>
          </cell>
        </row>
        <row r="1206">
          <cell r="A1206" t="str">
            <v/>
          </cell>
        </row>
        <row r="1207">
          <cell r="A1207" t="str">
            <v/>
          </cell>
        </row>
        <row r="1208">
          <cell r="A1208" t="str">
            <v/>
          </cell>
        </row>
        <row r="1209">
          <cell r="A1209" t="str">
            <v/>
          </cell>
        </row>
        <row r="1210">
          <cell r="A1210" t="str">
            <v/>
          </cell>
        </row>
        <row r="1211">
          <cell r="A1211" t="str">
            <v/>
          </cell>
        </row>
        <row r="1212">
          <cell r="A1212" t="str">
            <v/>
          </cell>
        </row>
        <row r="1213">
          <cell r="A1213" t="str">
            <v/>
          </cell>
        </row>
        <row r="1214">
          <cell r="A1214" t="str">
            <v/>
          </cell>
        </row>
        <row r="1215">
          <cell r="A1215" t="str">
            <v/>
          </cell>
        </row>
        <row r="1216">
          <cell r="A1216" t="str">
            <v/>
          </cell>
        </row>
        <row r="1217">
          <cell r="A1217" t="str">
            <v/>
          </cell>
        </row>
        <row r="1218">
          <cell r="A1218" t="str">
            <v/>
          </cell>
        </row>
        <row r="1219">
          <cell r="A1219" t="str">
            <v/>
          </cell>
        </row>
        <row r="1220">
          <cell r="A1220" t="str">
            <v/>
          </cell>
        </row>
        <row r="1221">
          <cell r="A1221" t="str">
            <v/>
          </cell>
        </row>
        <row r="1222">
          <cell r="A1222" t="str">
            <v/>
          </cell>
        </row>
        <row r="1223">
          <cell r="A1223" t="str">
            <v/>
          </cell>
        </row>
        <row r="1224">
          <cell r="A1224" t="str">
            <v/>
          </cell>
        </row>
        <row r="1225">
          <cell r="A1225" t="str">
            <v/>
          </cell>
        </row>
        <row r="1226">
          <cell r="A1226" t="str">
            <v/>
          </cell>
        </row>
        <row r="1227">
          <cell r="A1227" t="str">
            <v/>
          </cell>
        </row>
        <row r="1228">
          <cell r="A1228" t="str">
            <v/>
          </cell>
        </row>
        <row r="1229">
          <cell r="A1229" t="str">
            <v/>
          </cell>
        </row>
        <row r="1230">
          <cell r="A1230" t="str">
            <v/>
          </cell>
        </row>
        <row r="1231">
          <cell r="A1231" t="str">
            <v/>
          </cell>
        </row>
        <row r="1232">
          <cell r="A1232" t="str">
            <v/>
          </cell>
        </row>
        <row r="1233">
          <cell r="A1233" t="str">
            <v/>
          </cell>
        </row>
        <row r="1234">
          <cell r="A1234" t="str">
            <v/>
          </cell>
        </row>
        <row r="1235">
          <cell r="A1235" t="str">
            <v/>
          </cell>
        </row>
        <row r="1236">
          <cell r="A1236" t="str">
            <v/>
          </cell>
        </row>
        <row r="1237">
          <cell r="A1237" t="str">
            <v/>
          </cell>
        </row>
        <row r="1238">
          <cell r="A1238" t="str">
            <v/>
          </cell>
        </row>
        <row r="1239">
          <cell r="A1239" t="str">
            <v/>
          </cell>
        </row>
        <row r="1240">
          <cell r="A1240" t="str">
            <v/>
          </cell>
        </row>
        <row r="1241">
          <cell r="A1241" t="str">
            <v/>
          </cell>
        </row>
        <row r="1242">
          <cell r="A1242" t="str">
            <v/>
          </cell>
        </row>
        <row r="1243">
          <cell r="A1243" t="str">
            <v/>
          </cell>
        </row>
        <row r="1244">
          <cell r="A1244" t="str">
            <v/>
          </cell>
        </row>
        <row r="1245">
          <cell r="A1245" t="str">
            <v/>
          </cell>
        </row>
        <row r="1246">
          <cell r="A1246" t="str">
            <v/>
          </cell>
        </row>
        <row r="1247">
          <cell r="A1247" t="str">
            <v/>
          </cell>
        </row>
        <row r="1248">
          <cell r="A1248" t="str">
            <v/>
          </cell>
        </row>
        <row r="1249">
          <cell r="A1249" t="str">
            <v/>
          </cell>
        </row>
        <row r="1250">
          <cell r="A1250" t="str">
            <v/>
          </cell>
        </row>
        <row r="1251">
          <cell r="A1251" t="str">
            <v/>
          </cell>
        </row>
        <row r="1252">
          <cell r="A1252" t="str">
            <v/>
          </cell>
        </row>
        <row r="1253">
          <cell r="A1253" t="str">
            <v/>
          </cell>
        </row>
        <row r="1254">
          <cell r="A1254" t="str">
            <v/>
          </cell>
        </row>
        <row r="1255">
          <cell r="A1255" t="str">
            <v/>
          </cell>
        </row>
        <row r="1256">
          <cell r="A1256" t="str">
            <v/>
          </cell>
        </row>
        <row r="1257">
          <cell r="A1257" t="str">
            <v/>
          </cell>
        </row>
        <row r="1258">
          <cell r="A1258" t="str">
            <v/>
          </cell>
        </row>
        <row r="1259">
          <cell r="A1259" t="str">
            <v/>
          </cell>
        </row>
        <row r="1260">
          <cell r="A1260" t="str">
            <v/>
          </cell>
        </row>
        <row r="1261">
          <cell r="A1261" t="str">
            <v/>
          </cell>
        </row>
        <row r="1262">
          <cell r="A1262" t="str">
            <v/>
          </cell>
        </row>
        <row r="1263">
          <cell r="A1263" t="str">
            <v/>
          </cell>
        </row>
        <row r="1264">
          <cell r="A1264" t="str">
            <v/>
          </cell>
        </row>
        <row r="1265">
          <cell r="A1265" t="str">
            <v/>
          </cell>
        </row>
        <row r="1266">
          <cell r="A1266" t="str">
            <v/>
          </cell>
        </row>
        <row r="1267">
          <cell r="A1267" t="str">
            <v/>
          </cell>
        </row>
        <row r="1268">
          <cell r="A1268" t="str">
            <v/>
          </cell>
        </row>
        <row r="1269">
          <cell r="A1269" t="str">
            <v/>
          </cell>
        </row>
        <row r="1270">
          <cell r="A1270" t="str">
            <v/>
          </cell>
        </row>
        <row r="1271">
          <cell r="A1271" t="str">
            <v/>
          </cell>
        </row>
        <row r="1272">
          <cell r="A1272" t="str">
            <v/>
          </cell>
        </row>
        <row r="1273">
          <cell r="A1273" t="str">
            <v/>
          </cell>
        </row>
        <row r="1274">
          <cell r="A1274" t="str">
            <v/>
          </cell>
        </row>
        <row r="1275">
          <cell r="A1275" t="str">
            <v/>
          </cell>
        </row>
        <row r="1276">
          <cell r="A1276" t="str">
            <v/>
          </cell>
        </row>
        <row r="1277">
          <cell r="A1277" t="str">
            <v/>
          </cell>
        </row>
        <row r="1278">
          <cell r="A1278" t="str">
            <v/>
          </cell>
        </row>
        <row r="1279">
          <cell r="A1279" t="str">
            <v/>
          </cell>
        </row>
        <row r="1280">
          <cell r="A1280" t="str">
            <v/>
          </cell>
        </row>
        <row r="1281">
          <cell r="A1281" t="str">
            <v/>
          </cell>
        </row>
        <row r="1282">
          <cell r="A1282" t="str">
            <v/>
          </cell>
        </row>
        <row r="1283">
          <cell r="A1283" t="str">
            <v/>
          </cell>
        </row>
        <row r="1284">
          <cell r="A1284" t="str">
            <v/>
          </cell>
        </row>
        <row r="1285">
          <cell r="A1285" t="str">
            <v/>
          </cell>
        </row>
        <row r="1286">
          <cell r="A1286" t="str">
            <v/>
          </cell>
        </row>
        <row r="1287">
          <cell r="A1287" t="str">
            <v/>
          </cell>
        </row>
        <row r="1288">
          <cell r="A1288" t="str">
            <v/>
          </cell>
        </row>
        <row r="1289">
          <cell r="A1289" t="str">
            <v/>
          </cell>
        </row>
        <row r="1290">
          <cell r="A1290" t="str">
            <v/>
          </cell>
        </row>
        <row r="1291">
          <cell r="A1291" t="str">
            <v/>
          </cell>
        </row>
        <row r="1292">
          <cell r="A1292" t="str">
            <v/>
          </cell>
        </row>
        <row r="1293">
          <cell r="A1293" t="str">
            <v/>
          </cell>
        </row>
        <row r="1294">
          <cell r="A1294" t="str">
            <v/>
          </cell>
        </row>
        <row r="1295">
          <cell r="A1295" t="str">
            <v/>
          </cell>
        </row>
        <row r="1296">
          <cell r="A1296" t="str">
            <v/>
          </cell>
        </row>
        <row r="1297">
          <cell r="A1297" t="str">
            <v/>
          </cell>
        </row>
        <row r="1298">
          <cell r="A1298" t="str">
            <v/>
          </cell>
        </row>
        <row r="1299">
          <cell r="A1299" t="str">
            <v/>
          </cell>
        </row>
        <row r="1300">
          <cell r="A1300" t="str">
            <v/>
          </cell>
        </row>
        <row r="1301">
          <cell r="A1301" t="str">
            <v/>
          </cell>
        </row>
        <row r="1302">
          <cell r="A1302" t="str">
            <v/>
          </cell>
        </row>
        <row r="1303">
          <cell r="A1303" t="str">
            <v/>
          </cell>
        </row>
        <row r="1304">
          <cell r="A1304" t="str">
            <v/>
          </cell>
        </row>
        <row r="1305">
          <cell r="A1305" t="str">
            <v/>
          </cell>
        </row>
        <row r="1306">
          <cell r="A1306" t="str">
            <v/>
          </cell>
        </row>
        <row r="1307">
          <cell r="A1307" t="str">
            <v/>
          </cell>
        </row>
        <row r="1308">
          <cell r="A1308" t="str">
            <v/>
          </cell>
        </row>
        <row r="1309">
          <cell r="A1309" t="str">
            <v/>
          </cell>
        </row>
        <row r="1310">
          <cell r="A1310" t="str">
            <v/>
          </cell>
        </row>
        <row r="1311">
          <cell r="A1311" t="str">
            <v/>
          </cell>
        </row>
        <row r="1312">
          <cell r="A1312" t="str">
            <v/>
          </cell>
        </row>
        <row r="1313">
          <cell r="A1313" t="str">
            <v/>
          </cell>
        </row>
        <row r="1314">
          <cell r="A1314" t="str">
            <v/>
          </cell>
        </row>
        <row r="1315">
          <cell r="A1315" t="str">
            <v/>
          </cell>
        </row>
        <row r="1316">
          <cell r="A1316" t="str">
            <v/>
          </cell>
        </row>
        <row r="1317">
          <cell r="A1317" t="str">
            <v/>
          </cell>
        </row>
        <row r="1318">
          <cell r="A1318" t="str">
            <v/>
          </cell>
        </row>
        <row r="1319">
          <cell r="A1319" t="str">
            <v/>
          </cell>
        </row>
        <row r="1320">
          <cell r="A1320" t="str">
            <v/>
          </cell>
        </row>
        <row r="1321">
          <cell r="A1321" t="str">
            <v/>
          </cell>
        </row>
        <row r="1322">
          <cell r="A1322" t="str">
            <v/>
          </cell>
        </row>
        <row r="1323">
          <cell r="A1323" t="str">
            <v/>
          </cell>
        </row>
        <row r="1324">
          <cell r="A1324" t="str">
            <v/>
          </cell>
        </row>
        <row r="1325">
          <cell r="A1325" t="str">
            <v/>
          </cell>
        </row>
        <row r="1326">
          <cell r="A1326" t="str">
            <v/>
          </cell>
        </row>
        <row r="1327">
          <cell r="A1327" t="str">
            <v/>
          </cell>
        </row>
        <row r="1328">
          <cell r="A1328" t="str">
            <v/>
          </cell>
        </row>
        <row r="1329">
          <cell r="A1329" t="str">
            <v/>
          </cell>
        </row>
        <row r="1330">
          <cell r="A1330" t="str">
            <v/>
          </cell>
        </row>
        <row r="1331">
          <cell r="A1331" t="str">
            <v/>
          </cell>
        </row>
        <row r="1332">
          <cell r="A1332" t="str">
            <v/>
          </cell>
        </row>
        <row r="1333">
          <cell r="A1333" t="str">
            <v/>
          </cell>
        </row>
        <row r="1334">
          <cell r="A1334" t="str">
            <v/>
          </cell>
        </row>
        <row r="1335">
          <cell r="A1335" t="str">
            <v/>
          </cell>
        </row>
        <row r="1336">
          <cell r="A1336" t="str">
            <v/>
          </cell>
        </row>
        <row r="1337">
          <cell r="A1337" t="str">
            <v/>
          </cell>
        </row>
        <row r="1338">
          <cell r="A1338" t="str">
            <v/>
          </cell>
        </row>
        <row r="1339">
          <cell r="A1339" t="str">
            <v/>
          </cell>
        </row>
        <row r="1340">
          <cell r="A1340" t="str">
            <v/>
          </cell>
        </row>
        <row r="1341">
          <cell r="A1341" t="str">
            <v/>
          </cell>
        </row>
        <row r="1342">
          <cell r="A1342" t="str">
            <v/>
          </cell>
        </row>
        <row r="1343">
          <cell r="A1343" t="str">
            <v/>
          </cell>
        </row>
        <row r="1344">
          <cell r="A1344" t="str">
            <v/>
          </cell>
        </row>
        <row r="1345">
          <cell r="A1345" t="str">
            <v/>
          </cell>
        </row>
        <row r="1346">
          <cell r="A1346" t="str">
            <v/>
          </cell>
        </row>
        <row r="1347">
          <cell r="A1347" t="str">
            <v/>
          </cell>
        </row>
        <row r="1348">
          <cell r="A1348" t="str">
            <v/>
          </cell>
        </row>
        <row r="1349">
          <cell r="A1349" t="str">
            <v/>
          </cell>
        </row>
        <row r="1350">
          <cell r="A1350" t="str">
            <v/>
          </cell>
        </row>
        <row r="1351">
          <cell r="A1351" t="str">
            <v/>
          </cell>
        </row>
        <row r="1352">
          <cell r="A1352" t="str">
            <v/>
          </cell>
        </row>
        <row r="1353">
          <cell r="A1353" t="str">
            <v/>
          </cell>
        </row>
        <row r="1354">
          <cell r="A1354" t="str">
            <v/>
          </cell>
        </row>
        <row r="1355">
          <cell r="A1355" t="str">
            <v/>
          </cell>
        </row>
        <row r="1356">
          <cell r="A1356" t="str">
            <v/>
          </cell>
        </row>
        <row r="1357">
          <cell r="A1357" t="str">
            <v/>
          </cell>
        </row>
        <row r="1358">
          <cell r="A1358" t="str">
            <v/>
          </cell>
        </row>
        <row r="1359">
          <cell r="A1359" t="str">
            <v/>
          </cell>
        </row>
        <row r="1360">
          <cell r="A1360" t="str">
            <v/>
          </cell>
        </row>
        <row r="1361">
          <cell r="A1361" t="str">
            <v/>
          </cell>
        </row>
        <row r="1362">
          <cell r="A1362" t="str">
            <v/>
          </cell>
        </row>
        <row r="1363">
          <cell r="A1363" t="str">
            <v/>
          </cell>
        </row>
        <row r="1364">
          <cell r="A1364" t="str">
            <v/>
          </cell>
        </row>
        <row r="1365">
          <cell r="A1365" t="str">
            <v/>
          </cell>
        </row>
        <row r="1366">
          <cell r="A1366" t="str">
            <v/>
          </cell>
        </row>
        <row r="1367">
          <cell r="A1367" t="str">
            <v/>
          </cell>
        </row>
        <row r="1368">
          <cell r="A1368" t="str">
            <v/>
          </cell>
        </row>
        <row r="1369">
          <cell r="A1369" t="str">
            <v/>
          </cell>
        </row>
        <row r="1370">
          <cell r="A1370" t="str">
            <v/>
          </cell>
        </row>
        <row r="1371">
          <cell r="A1371" t="str">
            <v/>
          </cell>
        </row>
        <row r="1372">
          <cell r="A1372" t="str">
            <v/>
          </cell>
        </row>
        <row r="1373">
          <cell r="A1373" t="str">
            <v/>
          </cell>
        </row>
        <row r="1374">
          <cell r="A1374" t="str">
            <v/>
          </cell>
        </row>
        <row r="1375">
          <cell r="A1375" t="str">
            <v/>
          </cell>
        </row>
        <row r="1376">
          <cell r="A1376" t="str">
            <v/>
          </cell>
        </row>
        <row r="1377">
          <cell r="A1377" t="str">
            <v/>
          </cell>
        </row>
        <row r="1378">
          <cell r="A1378" t="str">
            <v/>
          </cell>
        </row>
        <row r="1379">
          <cell r="A1379" t="str">
            <v/>
          </cell>
        </row>
        <row r="1380">
          <cell r="A1380" t="str">
            <v/>
          </cell>
        </row>
        <row r="1381">
          <cell r="A1381" t="str">
            <v/>
          </cell>
        </row>
        <row r="1382">
          <cell r="A1382" t="str">
            <v/>
          </cell>
        </row>
        <row r="1383">
          <cell r="A1383" t="str">
            <v/>
          </cell>
        </row>
        <row r="1384">
          <cell r="A1384" t="str">
            <v/>
          </cell>
        </row>
        <row r="1385">
          <cell r="A1385" t="str">
            <v/>
          </cell>
        </row>
        <row r="1386">
          <cell r="A1386" t="str">
            <v/>
          </cell>
        </row>
        <row r="1387">
          <cell r="A1387" t="str">
            <v/>
          </cell>
        </row>
        <row r="1388">
          <cell r="A1388" t="str">
            <v/>
          </cell>
        </row>
        <row r="1389">
          <cell r="A1389" t="str">
            <v/>
          </cell>
        </row>
        <row r="1390">
          <cell r="A1390" t="str">
            <v/>
          </cell>
        </row>
        <row r="1391">
          <cell r="A1391" t="str">
            <v/>
          </cell>
        </row>
        <row r="1392">
          <cell r="A1392" t="str">
            <v/>
          </cell>
        </row>
        <row r="1393">
          <cell r="A1393" t="str">
            <v/>
          </cell>
        </row>
        <row r="1394">
          <cell r="A1394" t="str">
            <v/>
          </cell>
        </row>
        <row r="1395">
          <cell r="A1395" t="str">
            <v/>
          </cell>
        </row>
        <row r="1396">
          <cell r="A1396" t="str">
            <v/>
          </cell>
        </row>
        <row r="1397">
          <cell r="A1397" t="str">
            <v/>
          </cell>
        </row>
        <row r="1398">
          <cell r="A1398" t="str">
            <v/>
          </cell>
        </row>
        <row r="1399">
          <cell r="A1399" t="str">
            <v/>
          </cell>
        </row>
        <row r="1400">
          <cell r="A1400" t="str">
            <v/>
          </cell>
        </row>
        <row r="1401">
          <cell r="A1401" t="str">
            <v/>
          </cell>
        </row>
        <row r="1402">
          <cell r="A1402" t="str">
            <v/>
          </cell>
        </row>
        <row r="1403">
          <cell r="A1403" t="str">
            <v/>
          </cell>
        </row>
        <row r="1404">
          <cell r="A1404" t="str">
            <v/>
          </cell>
        </row>
        <row r="1405">
          <cell r="A1405" t="str">
            <v/>
          </cell>
        </row>
        <row r="1406">
          <cell r="A1406" t="str">
            <v/>
          </cell>
        </row>
        <row r="1407">
          <cell r="A1407" t="str">
            <v/>
          </cell>
        </row>
        <row r="1408">
          <cell r="A1408" t="str">
            <v/>
          </cell>
        </row>
        <row r="1409">
          <cell r="A1409" t="str">
            <v/>
          </cell>
        </row>
        <row r="1410">
          <cell r="A1410" t="str">
            <v/>
          </cell>
        </row>
        <row r="1411">
          <cell r="A1411" t="str">
            <v/>
          </cell>
        </row>
        <row r="1412">
          <cell r="A1412" t="str">
            <v/>
          </cell>
        </row>
        <row r="1413">
          <cell r="A1413" t="str">
            <v/>
          </cell>
        </row>
        <row r="1414">
          <cell r="A1414" t="str">
            <v/>
          </cell>
        </row>
        <row r="1415">
          <cell r="A1415" t="str">
            <v/>
          </cell>
        </row>
        <row r="1416">
          <cell r="A1416" t="str">
            <v/>
          </cell>
        </row>
        <row r="1417">
          <cell r="A1417" t="str">
            <v/>
          </cell>
        </row>
        <row r="1418">
          <cell r="A1418" t="str">
            <v/>
          </cell>
        </row>
        <row r="1419">
          <cell r="A1419" t="str">
            <v/>
          </cell>
        </row>
        <row r="1420">
          <cell r="A1420" t="str">
            <v/>
          </cell>
        </row>
        <row r="1421">
          <cell r="A1421" t="str">
            <v/>
          </cell>
        </row>
        <row r="1422">
          <cell r="A1422" t="str">
            <v/>
          </cell>
        </row>
        <row r="1423">
          <cell r="A1423" t="str">
            <v/>
          </cell>
        </row>
        <row r="1424">
          <cell r="A1424" t="str">
            <v/>
          </cell>
        </row>
        <row r="1425">
          <cell r="A1425" t="str">
            <v/>
          </cell>
        </row>
        <row r="1426">
          <cell r="A1426" t="str">
            <v/>
          </cell>
        </row>
        <row r="1427">
          <cell r="A1427" t="str">
            <v/>
          </cell>
        </row>
        <row r="1428">
          <cell r="A1428" t="str">
            <v/>
          </cell>
        </row>
        <row r="1429">
          <cell r="A1429" t="str">
            <v/>
          </cell>
        </row>
        <row r="1430">
          <cell r="A1430" t="str">
            <v/>
          </cell>
        </row>
        <row r="1431">
          <cell r="A1431" t="str">
            <v/>
          </cell>
        </row>
        <row r="1432">
          <cell r="A1432" t="str">
            <v/>
          </cell>
        </row>
        <row r="1433">
          <cell r="A1433" t="str">
            <v/>
          </cell>
        </row>
        <row r="1434">
          <cell r="A1434" t="str">
            <v/>
          </cell>
        </row>
        <row r="1435">
          <cell r="A1435" t="str">
            <v/>
          </cell>
        </row>
        <row r="1436">
          <cell r="A1436" t="str">
            <v/>
          </cell>
        </row>
        <row r="1437">
          <cell r="A1437" t="str">
            <v/>
          </cell>
        </row>
        <row r="1438">
          <cell r="A1438" t="str">
            <v/>
          </cell>
        </row>
        <row r="1439">
          <cell r="A1439" t="str">
            <v/>
          </cell>
        </row>
        <row r="1440">
          <cell r="A1440" t="str">
            <v/>
          </cell>
        </row>
        <row r="1441">
          <cell r="A1441" t="str">
            <v/>
          </cell>
        </row>
        <row r="1442">
          <cell r="A1442" t="str">
            <v/>
          </cell>
        </row>
        <row r="1443">
          <cell r="A1443" t="str">
            <v/>
          </cell>
        </row>
        <row r="1444">
          <cell r="A1444" t="str">
            <v/>
          </cell>
        </row>
        <row r="1445">
          <cell r="A1445" t="str">
            <v/>
          </cell>
        </row>
        <row r="1446">
          <cell r="A1446" t="str">
            <v/>
          </cell>
        </row>
        <row r="1447">
          <cell r="A1447" t="str">
            <v/>
          </cell>
        </row>
        <row r="1448">
          <cell r="A1448" t="str">
            <v/>
          </cell>
        </row>
        <row r="1449">
          <cell r="A1449" t="str">
            <v/>
          </cell>
        </row>
        <row r="1450">
          <cell r="A1450" t="str">
            <v/>
          </cell>
        </row>
        <row r="1451">
          <cell r="A1451" t="str">
            <v/>
          </cell>
        </row>
        <row r="1452">
          <cell r="A1452" t="str">
            <v/>
          </cell>
        </row>
        <row r="1453">
          <cell r="A1453" t="str">
            <v/>
          </cell>
        </row>
        <row r="1454">
          <cell r="A1454" t="str">
            <v/>
          </cell>
        </row>
        <row r="1455">
          <cell r="A1455" t="str">
            <v/>
          </cell>
        </row>
        <row r="1456">
          <cell r="A1456" t="str">
            <v/>
          </cell>
        </row>
        <row r="1457">
          <cell r="A1457" t="str">
            <v/>
          </cell>
        </row>
        <row r="1458">
          <cell r="A1458" t="str">
            <v/>
          </cell>
        </row>
        <row r="1459">
          <cell r="A1459" t="str">
            <v/>
          </cell>
        </row>
        <row r="1460">
          <cell r="A1460" t="str">
            <v/>
          </cell>
        </row>
        <row r="1461">
          <cell r="A1461" t="str">
            <v/>
          </cell>
        </row>
        <row r="1462">
          <cell r="A1462" t="str">
            <v/>
          </cell>
        </row>
        <row r="1463">
          <cell r="A1463" t="str">
            <v/>
          </cell>
        </row>
        <row r="1464">
          <cell r="A1464" t="str">
            <v/>
          </cell>
        </row>
        <row r="1465">
          <cell r="A1465" t="str">
            <v/>
          </cell>
        </row>
        <row r="1466">
          <cell r="A1466" t="str">
            <v/>
          </cell>
        </row>
        <row r="1467">
          <cell r="A1467" t="str">
            <v/>
          </cell>
        </row>
        <row r="1468">
          <cell r="A1468" t="str">
            <v/>
          </cell>
        </row>
        <row r="1469">
          <cell r="A1469" t="str">
            <v/>
          </cell>
        </row>
        <row r="1470">
          <cell r="A1470" t="str">
            <v/>
          </cell>
        </row>
        <row r="1471">
          <cell r="A1471" t="str">
            <v/>
          </cell>
        </row>
        <row r="1472">
          <cell r="A1472" t="str">
            <v/>
          </cell>
        </row>
        <row r="1473">
          <cell r="A1473" t="str">
            <v/>
          </cell>
        </row>
        <row r="1474">
          <cell r="A1474" t="str">
            <v/>
          </cell>
        </row>
        <row r="1475">
          <cell r="A1475" t="str">
            <v/>
          </cell>
        </row>
        <row r="1476">
          <cell r="A1476" t="str">
            <v/>
          </cell>
        </row>
        <row r="1477">
          <cell r="A1477" t="str">
            <v/>
          </cell>
        </row>
        <row r="1478">
          <cell r="A1478" t="str">
            <v/>
          </cell>
        </row>
        <row r="1479">
          <cell r="A1479" t="str">
            <v/>
          </cell>
        </row>
        <row r="1480">
          <cell r="A1480" t="str">
            <v/>
          </cell>
        </row>
        <row r="1481">
          <cell r="A1481" t="str">
            <v/>
          </cell>
        </row>
        <row r="1482">
          <cell r="A1482" t="str">
            <v/>
          </cell>
        </row>
        <row r="1483">
          <cell r="A1483" t="str">
            <v/>
          </cell>
        </row>
        <row r="1484">
          <cell r="A1484" t="str">
            <v/>
          </cell>
        </row>
        <row r="1485">
          <cell r="A1485" t="str">
            <v/>
          </cell>
        </row>
        <row r="1486">
          <cell r="A1486" t="str">
            <v/>
          </cell>
        </row>
        <row r="1487">
          <cell r="A1487" t="str">
            <v/>
          </cell>
        </row>
        <row r="1488">
          <cell r="A1488" t="str">
            <v/>
          </cell>
        </row>
        <row r="1489">
          <cell r="A1489" t="str">
            <v/>
          </cell>
        </row>
        <row r="1490">
          <cell r="A1490" t="str">
            <v/>
          </cell>
        </row>
        <row r="1491">
          <cell r="A1491" t="str">
            <v/>
          </cell>
        </row>
        <row r="1492">
          <cell r="A1492" t="str">
            <v/>
          </cell>
        </row>
        <row r="1493">
          <cell r="A1493" t="str">
            <v/>
          </cell>
        </row>
        <row r="1494">
          <cell r="A1494" t="str">
            <v/>
          </cell>
        </row>
        <row r="1495">
          <cell r="A1495" t="str">
            <v/>
          </cell>
        </row>
        <row r="1496">
          <cell r="A1496" t="str">
            <v/>
          </cell>
        </row>
        <row r="1497">
          <cell r="A1497" t="str">
            <v/>
          </cell>
        </row>
        <row r="1498">
          <cell r="A1498" t="str">
            <v/>
          </cell>
        </row>
        <row r="1499">
          <cell r="A1499" t="str">
            <v/>
          </cell>
        </row>
        <row r="1500">
          <cell r="A1500" t="str">
            <v/>
          </cell>
        </row>
        <row r="1501">
          <cell r="A1501" t="str">
            <v/>
          </cell>
        </row>
        <row r="1502">
          <cell r="A1502" t="str">
            <v/>
          </cell>
        </row>
        <row r="1503">
          <cell r="A1503" t="str">
            <v/>
          </cell>
        </row>
        <row r="1504">
          <cell r="A1504" t="str">
            <v/>
          </cell>
        </row>
        <row r="1505">
          <cell r="A1505" t="str">
            <v/>
          </cell>
        </row>
        <row r="1506">
          <cell r="A1506" t="str">
            <v/>
          </cell>
        </row>
        <row r="1507">
          <cell r="A1507" t="str">
            <v/>
          </cell>
        </row>
        <row r="1508">
          <cell r="A1508" t="str">
            <v/>
          </cell>
        </row>
        <row r="1509">
          <cell r="A1509" t="str">
            <v/>
          </cell>
        </row>
        <row r="1510">
          <cell r="A1510" t="str">
            <v/>
          </cell>
        </row>
        <row r="1511">
          <cell r="A1511" t="str">
            <v/>
          </cell>
        </row>
        <row r="1512">
          <cell r="A1512" t="str">
            <v/>
          </cell>
        </row>
        <row r="1513">
          <cell r="A1513" t="str">
            <v/>
          </cell>
        </row>
        <row r="1514">
          <cell r="A1514" t="str">
            <v/>
          </cell>
        </row>
        <row r="1515">
          <cell r="A1515" t="str">
            <v/>
          </cell>
        </row>
        <row r="1516">
          <cell r="A1516" t="str">
            <v/>
          </cell>
        </row>
        <row r="1517">
          <cell r="A1517" t="str">
            <v/>
          </cell>
        </row>
        <row r="1518">
          <cell r="A1518" t="str">
            <v/>
          </cell>
        </row>
        <row r="1519">
          <cell r="A1519" t="str">
            <v/>
          </cell>
        </row>
        <row r="1520">
          <cell r="A1520" t="str">
            <v/>
          </cell>
        </row>
        <row r="1521">
          <cell r="A1521" t="str">
            <v/>
          </cell>
        </row>
        <row r="1522">
          <cell r="A1522" t="str">
            <v/>
          </cell>
        </row>
        <row r="1523">
          <cell r="A1523" t="str">
            <v/>
          </cell>
        </row>
        <row r="1524">
          <cell r="A1524" t="str">
            <v/>
          </cell>
        </row>
        <row r="1525">
          <cell r="A1525" t="str">
            <v/>
          </cell>
        </row>
        <row r="1526">
          <cell r="A1526" t="str">
            <v/>
          </cell>
        </row>
        <row r="1527">
          <cell r="A1527" t="str">
            <v/>
          </cell>
        </row>
        <row r="1528">
          <cell r="A1528" t="str">
            <v/>
          </cell>
        </row>
        <row r="1529">
          <cell r="A1529" t="str">
            <v/>
          </cell>
        </row>
        <row r="1530">
          <cell r="A1530" t="str">
            <v/>
          </cell>
        </row>
        <row r="1531">
          <cell r="A1531" t="str">
            <v/>
          </cell>
        </row>
        <row r="1532">
          <cell r="A1532" t="str">
            <v/>
          </cell>
        </row>
        <row r="1533">
          <cell r="A1533" t="str">
            <v/>
          </cell>
        </row>
        <row r="1534">
          <cell r="A1534" t="str">
            <v/>
          </cell>
        </row>
        <row r="1535">
          <cell r="A1535" t="str">
            <v/>
          </cell>
        </row>
        <row r="1536">
          <cell r="A1536" t="str">
            <v/>
          </cell>
        </row>
        <row r="1537">
          <cell r="A1537" t="str">
            <v/>
          </cell>
        </row>
        <row r="1538">
          <cell r="A1538" t="str">
            <v/>
          </cell>
        </row>
        <row r="1539">
          <cell r="A1539" t="str">
            <v/>
          </cell>
        </row>
        <row r="1540">
          <cell r="A1540" t="str">
            <v/>
          </cell>
        </row>
        <row r="1541">
          <cell r="A1541" t="str">
            <v/>
          </cell>
        </row>
        <row r="1542">
          <cell r="A1542" t="str">
            <v/>
          </cell>
        </row>
        <row r="1543">
          <cell r="A1543" t="str">
            <v/>
          </cell>
        </row>
        <row r="1544">
          <cell r="A1544" t="str">
            <v/>
          </cell>
        </row>
        <row r="1545">
          <cell r="A1545" t="str">
            <v/>
          </cell>
        </row>
        <row r="1546">
          <cell r="A1546" t="str">
            <v/>
          </cell>
        </row>
        <row r="1547">
          <cell r="A1547" t="str">
            <v/>
          </cell>
        </row>
        <row r="1548">
          <cell r="A1548" t="str">
            <v/>
          </cell>
        </row>
        <row r="1549">
          <cell r="A1549" t="str">
            <v/>
          </cell>
        </row>
        <row r="1550">
          <cell r="A1550" t="str">
            <v/>
          </cell>
        </row>
        <row r="1551">
          <cell r="A1551" t="str">
            <v/>
          </cell>
        </row>
        <row r="1552">
          <cell r="A1552" t="str">
            <v/>
          </cell>
        </row>
        <row r="1553">
          <cell r="A1553" t="str">
            <v/>
          </cell>
        </row>
        <row r="1554">
          <cell r="A1554" t="str">
            <v/>
          </cell>
        </row>
        <row r="1555">
          <cell r="A1555" t="str">
            <v/>
          </cell>
        </row>
        <row r="1556">
          <cell r="A1556" t="str">
            <v/>
          </cell>
        </row>
        <row r="1557">
          <cell r="A1557" t="str">
            <v/>
          </cell>
        </row>
        <row r="1558">
          <cell r="A1558" t="str">
            <v/>
          </cell>
        </row>
        <row r="1559">
          <cell r="A1559" t="str">
            <v/>
          </cell>
        </row>
        <row r="1560">
          <cell r="A1560" t="str">
            <v/>
          </cell>
        </row>
        <row r="1561">
          <cell r="A1561" t="str">
            <v/>
          </cell>
        </row>
        <row r="1562">
          <cell r="A1562" t="str">
            <v/>
          </cell>
        </row>
        <row r="1563">
          <cell r="A1563" t="str">
            <v/>
          </cell>
        </row>
        <row r="1564">
          <cell r="A1564" t="str">
            <v/>
          </cell>
        </row>
        <row r="1565">
          <cell r="A1565" t="str">
            <v/>
          </cell>
        </row>
        <row r="1566">
          <cell r="A1566" t="str">
            <v/>
          </cell>
        </row>
        <row r="1567">
          <cell r="A1567" t="str">
            <v/>
          </cell>
        </row>
        <row r="1568">
          <cell r="A1568" t="str">
            <v/>
          </cell>
        </row>
        <row r="1569">
          <cell r="A1569" t="str">
            <v/>
          </cell>
        </row>
        <row r="1570">
          <cell r="A1570" t="str">
            <v/>
          </cell>
        </row>
        <row r="1571">
          <cell r="A1571" t="str">
            <v/>
          </cell>
        </row>
        <row r="1572">
          <cell r="A1572" t="str">
            <v/>
          </cell>
        </row>
        <row r="1573">
          <cell r="A1573" t="str">
            <v/>
          </cell>
        </row>
        <row r="1574">
          <cell r="A1574" t="str">
            <v/>
          </cell>
        </row>
        <row r="1575">
          <cell r="A1575" t="str">
            <v/>
          </cell>
        </row>
        <row r="1576">
          <cell r="A1576" t="str">
            <v/>
          </cell>
        </row>
        <row r="1577">
          <cell r="A1577" t="str">
            <v/>
          </cell>
        </row>
        <row r="1578">
          <cell r="A1578" t="str">
            <v/>
          </cell>
        </row>
        <row r="1579">
          <cell r="A1579" t="str">
            <v/>
          </cell>
        </row>
        <row r="1580">
          <cell r="A1580" t="str">
            <v/>
          </cell>
        </row>
        <row r="1581">
          <cell r="A1581" t="str">
            <v/>
          </cell>
        </row>
        <row r="1582">
          <cell r="A1582" t="str">
            <v/>
          </cell>
        </row>
        <row r="1583">
          <cell r="A1583" t="str">
            <v/>
          </cell>
        </row>
        <row r="1584">
          <cell r="A1584" t="str">
            <v/>
          </cell>
        </row>
        <row r="1585">
          <cell r="A1585" t="str">
            <v/>
          </cell>
        </row>
        <row r="1586">
          <cell r="A1586" t="str">
            <v/>
          </cell>
        </row>
        <row r="1587">
          <cell r="A1587" t="str">
            <v/>
          </cell>
        </row>
        <row r="1588">
          <cell r="A1588" t="str">
            <v/>
          </cell>
        </row>
        <row r="1589">
          <cell r="A1589" t="str">
            <v/>
          </cell>
        </row>
        <row r="1590">
          <cell r="A1590" t="str">
            <v/>
          </cell>
        </row>
        <row r="1591">
          <cell r="A1591" t="str">
            <v/>
          </cell>
        </row>
        <row r="1592">
          <cell r="A1592" t="str">
            <v/>
          </cell>
        </row>
        <row r="1593">
          <cell r="A1593" t="str">
            <v/>
          </cell>
        </row>
        <row r="1594">
          <cell r="A1594" t="str">
            <v/>
          </cell>
        </row>
        <row r="1595">
          <cell r="A1595" t="str">
            <v/>
          </cell>
        </row>
        <row r="1596">
          <cell r="A1596" t="str">
            <v/>
          </cell>
        </row>
        <row r="1597">
          <cell r="A1597" t="str">
            <v/>
          </cell>
        </row>
        <row r="1598">
          <cell r="A1598" t="str">
            <v/>
          </cell>
        </row>
        <row r="1599">
          <cell r="A1599" t="str">
            <v/>
          </cell>
        </row>
        <row r="1600">
          <cell r="A1600" t="str">
            <v/>
          </cell>
        </row>
        <row r="1601">
          <cell r="A1601" t="str">
            <v/>
          </cell>
        </row>
        <row r="1602">
          <cell r="A1602" t="str">
            <v/>
          </cell>
        </row>
        <row r="1603">
          <cell r="A1603" t="str">
            <v/>
          </cell>
        </row>
        <row r="1604">
          <cell r="A1604" t="str">
            <v/>
          </cell>
        </row>
        <row r="1605">
          <cell r="A1605" t="str">
            <v/>
          </cell>
        </row>
        <row r="1606">
          <cell r="A1606" t="str">
            <v/>
          </cell>
        </row>
        <row r="1607">
          <cell r="A1607" t="str">
            <v/>
          </cell>
        </row>
        <row r="1608">
          <cell r="A1608" t="str">
            <v/>
          </cell>
        </row>
        <row r="1609">
          <cell r="A1609" t="str">
            <v/>
          </cell>
        </row>
        <row r="1610">
          <cell r="A1610" t="str">
            <v/>
          </cell>
        </row>
        <row r="1611">
          <cell r="A1611" t="str">
            <v/>
          </cell>
        </row>
        <row r="1612">
          <cell r="A1612" t="str">
            <v/>
          </cell>
        </row>
        <row r="1613">
          <cell r="A1613" t="str">
            <v/>
          </cell>
        </row>
        <row r="1614">
          <cell r="A1614" t="str">
            <v/>
          </cell>
        </row>
        <row r="1615">
          <cell r="A1615" t="str">
            <v/>
          </cell>
        </row>
        <row r="1616">
          <cell r="A1616" t="str">
            <v/>
          </cell>
        </row>
        <row r="1617">
          <cell r="A1617" t="str">
            <v/>
          </cell>
        </row>
        <row r="1618">
          <cell r="A1618" t="str">
            <v/>
          </cell>
        </row>
        <row r="1619">
          <cell r="A1619" t="str">
            <v/>
          </cell>
        </row>
        <row r="1620">
          <cell r="A1620" t="str">
            <v/>
          </cell>
        </row>
        <row r="1621">
          <cell r="A1621" t="str">
            <v/>
          </cell>
        </row>
        <row r="1622">
          <cell r="A1622" t="str">
            <v/>
          </cell>
        </row>
        <row r="1623">
          <cell r="A1623" t="str">
            <v/>
          </cell>
        </row>
        <row r="1624">
          <cell r="A1624" t="str">
            <v/>
          </cell>
        </row>
        <row r="1625">
          <cell r="A1625" t="str">
            <v/>
          </cell>
        </row>
        <row r="1626">
          <cell r="A1626" t="str">
            <v/>
          </cell>
        </row>
        <row r="1627">
          <cell r="A1627" t="str">
            <v/>
          </cell>
        </row>
        <row r="1628">
          <cell r="A1628" t="str">
            <v/>
          </cell>
        </row>
        <row r="1629">
          <cell r="A1629" t="str">
            <v/>
          </cell>
        </row>
        <row r="1630">
          <cell r="A1630" t="str">
            <v/>
          </cell>
        </row>
        <row r="1631">
          <cell r="A1631" t="str">
            <v/>
          </cell>
        </row>
        <row r="1632">
          <cell r="A1632" t="str">
            <v/>
          </cell>
        </row>
        <row r="1633">
          <cell r="A1633" t="str">
            <v/>
          </cell>
        </row>
        <row r="1634">
          <cell r="A1634" t="str">
            <v/>
          </cell>
        </row>
        <row r="1635">
          <cell r="A1635" t="str">
            <v/>
          </cell>
        </row>
        <row r="1636">
          <cell r="A1636" t="str">
            <v/>
          </cell>
        </row>
        <row r="1637">
          <cell r="A1637" t="str">
            <v/>
          </cell>
        </row>
        <row r="1638">
          <cell r="A1638" t="str">
            <v/>
          </cell>
        </row>
        <row r="1639">
          <cell r="A1639" t="str">
            <v/>
          </cell>
        </row>
        <row r="1640">
          <cell r="A1640" t="str">
            <v/>
          </cell>
        </row>
        <row r="1641">
          <cell r="A1641" t="str">
            <v/>
          </cell>
        </row>
        <row r="1642">
          <cell r="A1642" t="str">
            <v/>
          </cell>
        </row>
        <row r="1643">
          <cell r="A1643" t="str">
            <v/>
          </cell>
        </row>
        <row r="1644">
          <cell r="A1644" t="str">
            <v/>
          </cell>
        </row>
        <row r="1645">
          <cell r="A1645" t="str">
            <v/>
          </cell>
        </row>
        <row r="1646">
          <cell r="A1646" t="str">
            <v/>
          </cell>
        </row>
        <row r="1647">
          <cell r="A1647" t="str">
            <v/>
          </cell>
        </row>
        <row r="1648">
          <cell r="A1648" t="str">
            <v/>
          </cell>
        </row>
        <row r="1649">
          <cell r="A1649" t="str">
            <v/>
          </cell>
        </row>
        <row r="1650">
          <cell r="A1650" t="str">
            <v/>
          </cell>
        </row>
        <row r="1651">
          <cell r="A1651" t="str">
            <v/>
          </cell>
        </row>
        <row r="1652">
          <cell r="A1652" t="str">
            <v/>
          </cell>
        </row>
        <row r="1653">
          <cell r="A1653" t="str">
            <v/>
          </cell>
        </row>
        <row r="1654">
          <cell r="A1654" t="str">
            <v/>
          </cell>
        </row>
        <row r="1655">
          <cell r="A1655" t="str">
            <v/>
          </cell>
        </row>
        <row r="1656">
          <cell r="A1656" t="str">
            <v/>
          </cell>
        </row>
        <row r="1657">
          <cell r="A1657" t="str">
            <v/>
          </cell>
        </row>
        <row r="1658">
          <cell r="A1658" t="str">
            <v/>
          </cell>
        </row>
        <row r="1659">
          <cell r="A1659" t="str">
            <v/>
          </cell>
        </row>
        <row r="1660">
          <cell r="A1660" t="str">
            <v/>
          </cell>
        </row>
        <row r="1661">
          <cell r="A1661" t="str">
            <v/>
          </cell>
        </row>
        <row r="1662">
          <cell r="A1662" t="str">
            <v/>
          </cell>
        </row>
        <row r="1663">
          <cell r="A1663" t="str">
            <v/>
          </cell>
        </row>
        <row r="1664">
          <cell r="A1664" t="str">
            <v/>
          </cell>
        </row>
        <row r="1665">
          <cell r="A1665" t="str">
            <v/>
          </cell>
        </row>
        <row r="1666">
          <cell r="A1666" t="str">
            <v/>
          </cell>
        </row>
        <row r="1667">
          <cell r="A1667" t="str">
            <v/>
          </cell>
        </row>
        <row r="1668">
          <cell r="A1668" t="str">
            <v/>
          </cell>
        </row>
        <row r="1669">
          <cell r="A1669" t="str">
            <v/>
          </cell>
        </row>
        <row r="1670">
          <cell r="A1670" t="str">
            <v/>
          </cell>
        </row>
        <row r="1671">
          <cell r="A1671" t="str">
            <v/>
          </cell>
        </row>
        <row r="1672">
          <cell r="A1672" t="str">
            <v/>
          </cell>
        </row>
        <row r="1673">
          <cell r="A1673" t="str">
            <v/>
          </cell>
        </row>
        <row r="1674">
          <cell r="A1674" t="str">
            <v/>
          </cell>
        </row>
        <row r="1675">
          <cell r="A1675" t="str">
            <v/>
          </cell>
        </row>
        <row r="1676">
          <cell r="A1676" t="str">
            <v/>
          </cell>
        </row>
        <row r="1677">
          <cell r="A1677" t="str">
            <v/>
          </cell>
        </row>
        <row r="1678">
          <cell r="A1678" t="str">
            <v/>
          </cell>
        </row>
        <row r="1679">
          <cell r="A1679" t="str">
            <v/>
          </cell>
        </row>
        <row r="1680">
          <cell r="A1680" t="str">
            <v/>
          </cell>
        </row>
        <row r="1681">
          <cell r="A1681" t="str">
            <v/>
          </cell>
        </row>
        <row r="1682">
          <cell r="A1682" t="str">
            <v/>
          </cell>
        </row>
        <row r="1683">
          <cell r="A1683" t="str">
            <v/>
          </cell>
        </row>
        <row r="1684">
          <cell r="A1684" t="str">
            <v/>
          </cell>
        </row>
        <row r="1685">
          <cell r="A1685" t="str">
            <v/>
          </cell>
        </row>
        <row r="1686">
          <cell r="A1686" t="str">
            <v/>
          </cell>
        </row>
        <row r="1687">
          <cell r="A1687" t="str">
            <v/>
          </cell>
        </row>
        <row r="1688">
          <cell r="A1688" t="str">
            <v/>
          </cell>
        </row>
        <row r="1689">
          <cell r="A1689" t="str">
            <v/>
          </cell>
        </row>
        <row r="1690">
          <cell r="A1690" t="str">
            <v/>
          </cell>
        </row>
        <row r="1691">
          <cell r="A1691" t="str">
            <v/>
          </cell>
        </row>
        <row r="1692">
          <cell r="A1692" t="str">
            <v/>
          </cell>
        </row>
        <row r="1693">
          <cell r="A1693" t="str">
            <v/>
          </cell>
        </row>
        <row r="1694">
          <cell r="A1694" t="str">
            <v/>
          </cell>
        </row>
        <row r="1695">
          <cell r="A1695" t="str">
            <v/>
          </cell>
        </row>
        <row r="1696">
          <cell r="A1696" t="str">
            <v/>
          </cell>
        </row>
        <row r="1697">
          <cell r="A1697" t="str">
            <v/>
          </cell>
        </row>
        <row r="1698">
          <cell r="A1698" t="str">
            <v/>
          </cell>
        </row>
        <row r="1699">
          <cell r="A1699" t="str">
            <v/>
          </cell>
        </row>
        <row r="1700">
          <cell r="A1700" t="str">
            <v/>
          </cell>
        </row>
        <row r="1701">
          <cell r="A1701" t="str">
            <v/>
          </cell>
        </row>
        <row r="1702">
          <cell r="A1702" t="str">
            <v/>
          </cell>
        </row>
        <row r="1703">
          <cell r="A1703" t="str">
            <v/>
          </cell>
        </row>
        <row r="1704">
          <cell r="A1704" t="str">
            <v/>
          </cell>
        </row>
        <row r="1705">
          <cell r="A1705" t="str">
            <v/>
          </cell>
        </row>
        <row r="1706">
          <cell r="A1706" t="str">
            <v/>
          </cell>
        </row>
        <row r="1707">
          <cell r="A1707" t="str">
            <v/>
          </cell>
        </row>
        <row r="1708">
          <cell r="A1708" t="str">
            <v/>
          </cell>
        </row>
        <row r="1709">
          <cell r="A1709" t="str">
            <v/>
          </cell>
        </row>
        <row r="1710">
          <cell r="A1710" t="str">
            <v/>
          </cell>
        </row>
        <row r="1711">
          <cell r="A1711" t="str">
            <v/>
          </cell>
        </row>
        <row r="1712">
          <cell r="A1712" t="str">
            <v/>
          </cell>
        </row>
        <row r="1713">
          <cell r="A1713" t="str">
            <v/>
          </cell>
        </row>
        <row r="1714">
          <cell r="A1714" t="str">
            <v/>
          </cell>
        </row>
        <row r="1715">
          <cell r="A1715" t="str">
            <v/>
          </cell>
        </row>
        <row r="1716">
          <cell r="A1716" t="str">
            <v/>
          </cell>
        </row>
        <row r="1717">
          <cell r="A1717" t="str">
            <v/>
          </cell>
        </row>
        <row r="1718">
          <cell r="A1718" t="str">
            <v/>
          </cell>
        </row>
        <row r="1719">
          <cell r="A1719" t="str">
            <v/>
          </cell>
        </row>
        <row r="1720">
          <cell r="A1720" t="str">
            <v/>
          </cell>
        </row>
        <row r="1721">
          <cell r="A1721" t="str">
            <v/>
          </cell>
        </row>
        <row r="1722">
          <cell r="A1722" t="str">
            <v/>
          </cell>
        </row>
        <row r="1723">
          <cell r="A1723" t="str">
            <v/>
          </cell>
        </row>
        <row r="1724">
          <cell r="A1724" t="str">
            <v/>
          </cell>
        </row>
        <row r="1725">
          <cell r="A1725" t="str">
            <v/>
          </cell>
        </row>
        <row r="1726">
          <cell r="A1726" t="str">
            <v/>
          </cell>
        </row>
        <row r="1727">
          <cell r="A1727" t="str">
            <v/>
          </cell>
        </row>
        <row r="1728">
          <cell r="A1728" t="str">
            <v/>
          </cell>
        </row>
        <row r="1729">
          <cell r="A1729" t="str">
            <v/>
          </cell>
        </row>
        <row r="1730">
          <cell r="A1730" t="str">
            <v/>
          </cell>
        </row>
        <row r="1731">
          <cell r="A1731" t="str">
            <v/>
          </cell>
        </row>
        <row r="1732">
          <cell r="A1732" t="str">
            <v/>
          </cell>
        </row>
        <row r="1733">
          <cell r="A1733" t="str">
            <v/>
          </cell>
        </row>
        <row r="1734">
          <cell r="A1734" t="str">
            <v/>
          </cell>
        </row>
        <row r="1735">
          <cell r="A1735" t="str">
            <v/>
          </cell>
        </row>
        <row r="1736">
          <cell r="A1736" t="str">
            <v/>
          </cell>
        </row>
        <row r="1737">
          <cell r="A1737" t="str">
            <v/>
          </cell>
        </row>
        <row r="1738">
          <cell r="A1738" t="str">
            <v/>
          </cell>
        </row>
        <row r="1739">
          <cell r="A1739" t="str">
            <v/>
          </cell>
        </row>
        <row r="1740">
          <cell r="A1740" t="str">
            <v/>
          </cell>
        </row>
        <row r="1741">
          <cell r="A1741" t="str">
            <v/>
          </cell>
        </row>
        <row r="1742">
          <cell r="A1742" t="str">
            <v/>
          </cell>
        </row>
        <row r="1743">
          <cell r="A1743" t="str">
            <v/>
          </cell>
        </row>
        <row r="1744">
          <cell r="A1744" t="str">
            <v/>
          </cell>
        </row>
        <row r="1745">
          <cell r="A1745" t="str">
            <v/>
          </cell>
        </row>
        <row r="1746">
          <cell r="A1746" t="str">
            <v/>
          </cell>
        </row>
        <row r="1747">
          <cell r="A1747" t="str">
            <v/>
          </cell>
        </row>
        <row r="1748">
          <cell r="A1748" t="str">
            <v/>
          </cell>
        </row>
        <row r="1749">
          <cell r="A1749" t="str">
            <v/>
          </cell>
        </row>
        <row r="1750">
          <cell r="A1750" t="str">
            <v/>
          </cell>
        </row>
        <row r="1751">
          <cell r="A1751" t="str">
            <v/>
          </cell>
        </row>
        <row r="1752">
          <cell r="A1752" t="str">
            <v/>
          </cell>
        </row>
        <row r="1753">
          <cell r="A1753" t="str">
            <v/>
          </cell>
        </row>
        <row r="1754">
          <cell r="A1754" t="str">
            <v/>
          </cell>
        </row>
        <row r="1755">
          <cell r="A1755" t="str">
            <v/>
          </cell>
        </row>
        <row r="1756">
          <cell r="A1756" t="str">
            <v/>
          </cell>
        </row>
        <row r="1757">
          <cell r="A1757" t="str">
            <v/>
          </cell>
        </row>
        <row r="1758">
          <cell r="A1758" t="str">
            <v/>
          </cell>
        </row>
        <row r="1759">
          <cell r="A1759" t="str">
            <v/>
          </cell>
        </row>
        <row r="1760">
          <cell r="A1760" t="str">
            <v/>
          </cell>
        </row>
        <row r="1761">
          <cell r="A1761" t="str">
            <v/>
          </cell>
        </row>
        <row r="1762">
          <cell r="A1762" t="str">
            <v/>
          </cell>
        </row>
        <row r="1763">
          <cell r="A1763" t="str">
            <v/>
          </cell>
        </row>
        <row r="1764">
          <cell r="A1764" t="str">
            <v/>
          </cell>
        </row>
        <row r="1765">
          <cell r="A1765" t="str">
            <v/>
          </cell>
        </row>
        <row r="1766">
          <cell r="A1766" t="str">
            <v/>
          </cell>
        </row>
        <row r="1767">
          <cell r="A1767" t="str">
            <v/>
          </cell>
        </row>
        <row r="1768">
          <cell r="A1768" t="str">
            <v/>
          </cell>
        </row>
        <row r="1769">
          <cell r="A1769" t="str">
            <v/>
          </cell>
        </row>
        <row r="1770">
          <cell r="A1770" t="str">
            <v/>
          </cell>
        </row>
        <row r="1771">
          <cell r="A1771" t="str">
            <v/>
          </cell>
        </row>
        <row r="1772">
          <cell r="A1772" t="str">
            <v/>
          </cell>
        </row>
        <row r="1773">
          <cell r="A1773" t="str">
            <v/>
          </cell>
        </row>
        <row r="1774">
          <cell r="A1774" t="str">
            <v/>
          </cell>
        </row>
        <row r="1775">
          <cell r="A1775" t="str">
            <v/>
          </cell>
        </row>
        <row r="1776">
          <cell r="A1776" t="str">
            <v/>
          </cell>
        </row>
        <row r="1777">
          <cell r="A1777" t="str">
            <v/>
          </cell>
        </row>
        <row r="1778">
          <cell r="A1778" t="str">
            <v/>
          </cell>
        </row>
        <row r="1779">
          <cell r="A1779" t="str">
            <v/>
          </cell>
        </row>
        <row r="1780">
          <cell r="A1780" t="str">
            <v/>
          </cell>
        </row>
        <row r="1781">
          <cell r="A1781" t="str">
            <v/>
          </cell>
        </row>
        <row r="1782">
          <cell r="A1782" t="str">
            <v/>
          </cell>
        </row>
        <row r="1783">
          <cell r="A1783" t="str">
            <v/>
          </cell>
        </row>
        <row r="1784">
          <cell r="A1784" t="str">
            <v/>
          </cell>
        </row>
        <row r="1785">
          <cell r="A1785" t="str">
            <v/>
          </cell>
        </row>
        <row r="1786">
          <cell r="A1786" t="str">
            <v/>
          </cell>
        </row>
        <row r="1787">
          <cell r="A1787" t="str">
            <v/>
          </cell>
        </row>
        <row r="1788">
          <cell r="A1788" t="str">
            <v/>
          </cell>
        </row>
        <row r="1789">
          <cell r="A1789" t="str">
            <v/>
          </cell>
        </row>
        <row r="1790">
          <cell r="A1790" t="str">
            <v/>
          </cell>
        </row>
        <row r="1791">
          <cell r="A1791" t="str">
            <v/>
          </cell>
        </row>
        <row r="1792">
          <cell r="A1792" t="str">
            <v/>
          </cell>
        </row>
        <row r="1793">
          <cell r="A1793" t="str">
            <v/>
          </cell>
        </row>
        <row r="1794">
          <cell r="A1794" t="str">
            <v/>
          </cell>
        </row>
        <row r="1795">
          <cell r="A1795" t="str">
            <v/>
          </cell>
        </row>
        <row r="1796">
          <cell r="A1796" t="str">
            <v/>
          </cell>
        </row>
        <row r="1797">
          <cell r="A1797" t="str">
            <v/>
          </cell>
        </row>
        <row r="1798">
          <cell r="A1798" t="str">
            <v/>
          </cell>
        </row>
        <row r="1799">
          <cell r="A1799" t="str">
            <v/>
          </cell>
        </row>
        <row r="1800">
          <cell r="A1800" t="str">
            <v/>
          </cell>
        </row>
        <row r="1801">
          <cell r="A1801" t="str">
            <v/>
          </cell>
        </row>
        <row r="1802">
          <cell r="A1802" t="str">
            <v/>
          </cell>
        </row>
        <row r="1803">
          <cell r="A1803" t="str">
            <v/>
          </cell>
        </row>
        <row r="1804">
          <cell r="A1804" t="str">
            <v/>
          </cell>
        </row>
        <row r="1805">
          <cell r="A1805" t="str">
            <v/>
          </cell>
        </row>
        <row r="1806">
          <cell r="A1806" t="str">
            <v/>
          </cell>
        </row>
        <row r="1807">
          <cell r="A1807" t="str">
            <v/>
          </cell>
        </row>
        <row r="1808">
          <cell r="A1808" t="str">
            <v/>
          </cell>
        </row>
        <row r="1809">
          <cell r="A1809" t="str">
            <v/>
          </cell>
        </row>
        <row r="1810">
          <cell r="A1810" t="str">
            <v/>
          </cell>
        </row>
        <row r="1811">
          <cell r="A1811" t="str">
            <v/>
          </cell>
        </row>
        <row r="1812">
          <cell r="A1812" t="str">
            <v/>
          </cell>
        </row>
        <row r="1813">
          <cell r="A1813" t="str">
            <v/>
          </cell>
        </row>
        <row r="1814">
          <cell r="A1814" t="str">
            <v/>
          </cell>
        </row>
        <row r="1815">
          <cell r="A1815" t="str">
            <v/>
          </cell>
        </row>
        <row r="1816">
          <cell r="A1816" t="str">
            <v/>
          </cell>
        </row>
        <row r="1817">
          <cell r="A1817" t="str">
            <v/>
          </cell>
        </row>
        <row r="1818">
          <cell r="A1818" t="str">
            <v/>
          </cell>
        </row>
        <row r="1819">
          <cell r="A1819" t="str">
            <v/>
          </cell>
        </row>
        <row r="1820">
          <cell r="A1820" t="str">
            <v/>
          </cell>
        </row>
        <row r="1821">
          <cell r="A1821" t="str">
            <v/>
          </cell>
        </row>
        <row r="1822">
          <cell r="A1822" t="str">
            <v/>
          </cell>
        </row>
        <row r="1823">
          <cell r="A1823" t="str">
            <v/>
          </cell>
        </row>
        <row r="1824">
          <cell r="A1824" t="str">
            <v/>
          </cell>
        </row>
        <row r="1825">
          <cell r="A1825" t="str">
            <v/>
          </cell>
        </row>
        <row r="1826">
          <cell r="A1826" t="str">
            <v/>
          </cell>
        </row>
        <row r="1827">
          <cell r="A1827" t="str">
            <v/>
          </cell>
        </row>
        <row r="1828">
          <cell r="A1828" t="str">
            <v/>
          </cell>
        </row>
        <row r="1829">
          <cell r="A1829" t="str">
            <v/>
          </cell>
        </row>
        <row r="1830">
          <cell r="A1830" t="str">
            <v/>
          </cell>
        </row>
        <row r="1831">
          <cell r="A1831" t="str">
            <v/>
          </cell>
        </row>
        <row r="1832">
          <cell r="A1832" t="str">
            <v/>
          </cell>
        </row>
        <row r="1833">
          <cell r="A1833" t="str">
            <v/>
          </cell>
        </row>
        <row r="1834">
          <cell r="A1834" t="str">
            <v/>
          </cell>
        </row>
        <row r="1835">
          <cell r="A1835" t="str">
            <v/>
          </cell>
        </row>
        <row r="1836">
          <cell r="A1836" t="str">
            <v/>
          </cell>
        </row>
        <row r="1837">
          <cell r="A1837" t="str">
            <v/>
          </cell>
        </row>
        <row r="1838">
          <cell r="A1838" t="str">
            <v/>
          </cell>
        </row>
        <row r="1839">
          <cell r="A1839" t="str">
            <v/>
          </cell>
        </row>
        <row r="1840">
          <cell r="A1840" t="str">
            <v/>
          </cell>
        </row>
        <row r="1841">
          <cell r="A1841" t="str">
            <v/>
          </cell>
        </row>
        <row r="1842">
          <cell r="A1842" t="str">
            <v/>
          </cell>
        </row>
        <row r="1843">
          <cell r="A1843" t="str">
            <v/>
          </cell>
        </row>
        <row r="1844">
          <cell r="A1844" t="str">
            <v/>
          </cell>
        </row>
        <row r="1845">
          <cell r="A1845" t="str">
            <v/>
          </cell>
        </row>
        <row r="1846">
          <cell r="A1846" t="str">
            <v/>
          </cell>
        </row>
        <row r="1847">
          <cell r="A1847" t="str">
            <v/>
          </cell>
        </row>
        <row r="1848">
          <cell r="A1848" t="str">
            <v/>
          </cell>
        </row>
        <row r="1849">
          <cell r="A1849" t="str">
            <v/>
          </cell>
        </row>
        <row r="1850">
          <cell r="A1850" t="str">
            <v/>
          </cell>
        </row>
        <row r="1851">
          <cell r="A1851" t="str">
            <v/>
          </cell>
        </row>
        <row r="1852">
          <cell r="A1852" t="str">
            <v/>
          </cell>
        </row>
        <row r="1853">
          <cell r="A1853" t="str">
            <v/>
          </cell>
        </row>
        <row r="1854">
          <cell r="A1854" t="str">
            <v/>
          </cell>
        </row>
        <row r="1855">
          <cell r="A1855" t="str">
            <v/>
          </cell>
        </row>
        <row r="1856">
          <cell r="A1856" t="str">
            <v/>
          </cell>
        </row>
        <row r="1857">
          <cell r="A1857" t="str">
            <v/>
          </cell>
        </row>
        <row r="1858">
          <cell r="A1858" t="str">
            <v/>
          </cell>
        </row>
        <row r="1859">
          <cell r="A1859" t="str">
            <v/>
          </cell>
        </row>
        <row r="1860">
          <cell r="A1860" t="str">
            <v/>
          </cell>
        </row>
        <row r="1861">
          <cell r="A1861" t="str">
            <v/>
          </cell>
        </row>
        <row r="1862">
          <cell r="A1862" t="str">
            <v/>
          </cell>
        </row>
        <row r="1863">
          <cell r="A1863" t="str">
            <v/>
          </cell>
        </row>
        <row r="1864">
          <cell r="A1864" t="str">
            <v/>
          </cell>
        </row>
        <row r="1865">
          <cell r="A1865" t="str">
            <v/>
          </cell>
        </row>
        <row r="1866">
          <cell r="A1866" t="str">
            <v/>
          </cell>
        </row>
        <row r="1867">
          <cell r="A1867" t="str">
            <v/>
          </cell>
        </row>
        <row r="1868">
          <cell r="A1868" t="str">
            <v/>
          </cell>
        </row>
        <row r="1869">
          <cell r="A1869" t="str">
            <v/>
          </cell>
        </row>
        <row r="1870">
          <cell r="A1870" t="str">
            <v/>
          </cell>
        </row>
        <row r="1871">
          <cell r="A1871" t="str">
            <v/>
          </cell>
        </row>
        <row r="1872">
          <cell r="A1872" t="str">
            <v/>
          </cell>
        </row>
        <row r="1873">
          <cell r="A1873" t="str">
            <v/>
          </cell>
        </row>
        <row r="1874">
          <cell r="A1874" t="str">
            <v/>
          </cell>
        </row>
        <row r="1875">
          <cell r="A1875" t="str">
            <v/>
          </cell>
        </row>
        <row r="1876">
          <cell r="A1876" t="str">
            <v/>
          </cell>
        </row>
        <row r="1877">
          <cell r="A1877" t="str">
            <v/>
          </cell>
        </row>
        <row r="1878">
          <cell r="A1878" t="str">
            <v/>
          </cell>
        </row>
        <row r="1879">
          <cell r="A1879" t="str">
            <v/>
          </cell>
        </row>
        <row r="1880">
          <cell r="A1880" t="str">
            <v/>
          </cell>
        </row>
        <row r="1881">
          <cell r="A1881" t="str">
            <v/>
          </cell>
        </row>
        <row r="1882">
          <cell r="A1882" t="str">
            <v/>
          </cell>
        </row>
        <row r="1883">
          <cell r="A1883" t="str">
            <v/>
          </cell>
        </row>
        <row r="1884">
          <cell r="A1884" t="str">
            <v/>
          </cell>
        </row>
        <row r="1885">
          <cell r="A1885" t="str">
            <v/>
          </cell>
        </row>
        <row r="1886">
          <cell r="A1886" t="str">
            <v/>
          </cell>
        </row>
        <row r="1887">
          <cell r="A1887" t="str">
            <v/>
          </cell>
        </row>
        <row r="1888">
          <cell r="A1888" t="str">
            <v/>
          </cell>
        </row>
        <row r="1889">
          <cell r="A1889" t="str">
            <v/>
          </cell>
        </row>
        <row r="1890">
          <cell r="A1890" t="str">
            <v/>
          </cell>
        </row>
        <row r="1891">
          <cell r="A1891" t="str">
            <v/>
          </cell>
        </row>
        <row r="1892">
          <cell r="A1892" t="str">
            <v/>
          </cell>
        </row>
        <row r="1893">
          <cell r="A1893" t="str">
            <v/>
          </cell>
        </row>
        <row r="1894">
          <cell r="A1894" t="str">
            <v/>
          </cell>
        </row>
        <row r="1895">
          <cell r="A1895" t="str">
            <v/>
          </cell>
        </row>
        <row r="1896">
          <cell r="A1896" t="str">
            <v/>
          </cell>
        </row>
        <row r="1897">
          <cell r="A1897" t="str">
            <v/>
          </cell>
        </row>
        <row r="1898">
          <cell r="A1898" t="str">
            <v/>
          </cell>
        </row>
        <row r="1899">
          <cell r="A1899" t="str">
            <v/>
          </cell>
        </row>
        <row r="1900">
          <cell r="A1900" t="str">
            <v/>
          </cell>
        </row>
        <row r="1901">
          <cell r="A1901" t="str">
            <v/>
          </cell>
        </row>
        <row r="1902">
          <cell r="A1902" t="str">
            <v/>
          </cell>
        </row>
        <row r="1903">
          <cell r="A1903" t="str">
            <v/>
          </cell>
        </row>
        <row r="1904">
          <cell r="A1904" t="str">
            <v/>
          </cell>
        </row>
        <row r="1905">
          <cell r="A1905" t="str">
            <v/>
          </cell>
        </row>
        <row r="1906">
          <cell r="A1906" t="str">
            <v/>
          </cell>
        </row>
        <row r="1907">
          <cell r="A1907" t="str">
            <v/>
          </cell>
        </row>
        <row r="1908">
          <cell r="A1908" t="str">
            <v/>
          </cell>
        </row>
        <row r="1909">
          <cell r="A1909" t="str">
            <v/>
          </cell>
        </row>
        <row r="1910">
          <cell r="A1910" t="str">
            <v/>
          </cell>
        </row>
        <row r="1911">
          <cell r="A1911" t="str">
            <v/>
          </cell>
        </row>
        <row r="1912">
          <cell r="A1912" t="str">
            <v/>
          </cell>
        </row>
        <row r="1913">
          <cell r="A1913" t="str">
            <v/>
          </cell>
        </row>
        <row r="1914">
          <cell r="A1914" t="str">
            <v/>
          </cell>
        </row>
        <row r="1915">
          <cell r="A1915" t="str">
            <v/>
          </cell>
        </row>
        <row r="1916">
          <cell r="A1916" t="str">
            <v/>
          </cell>
        </row>
        <row r="1917">
          <cell r="A1917" t="str">
            <v/>
          </cell>
        </row>
        <row r="1918">
          <cell r="A1918" t="str">
            <v/>
          </cell>
        </row>
        <row r="1919">
          <cell r="A1919" t="str">
            <v/>
          </cell>
        </row>
        <row r="1920">
          <cell r="A1920" t="str">
            <v/>
          </cell>
        </row>
        <row r="1921">
          <cell r="A1921" t="str">
            <v/>
          </cell>
        </row>
        <row r="1922">
          <cell r="A1922" t="str">
            <v/>
          </cell>
        </row>
        <row r="1923">
          <cell r="A1923" t="str">
            <v/>
          </cell>
        </row>
        <row r="1924">
          <cell r="A1924" t="str">
            <v/>
          </cell>
        </row>
        <row r="1925">
          <cell r="A1925" t="str">
            <v/>
          </cell>
        </row>
        <row r="1926">
          <cell r="A1926" t="str">
            <v/>
          </cell>
        </row>
        <row r="1927">
          <cell r="A1927" t="str">
            <v/>
          </cell>
        </row>
        <row r="1928">
          <cell r="A1928" t="str">
            <v/>
          </cell>
        </row>
        <row r="1929">
          <cell r="A1929" t="str">
            <v/>
          </cell>
        </row>
        <row r="1930">
          <cell r="A1930" t="str">
            <v/>
          </cell>
        </row>
        <row r="1931">
          <cell r="A1931" t="str">
            <v/>
          </cell>
        </row>
        <row r="1932">
          <cell r="A1932" t="str">
            <v/>
          </cell>
        </row>
        <row r="1933">
          <cell r="A1933" t="str">
            <v/>
          </cell>
        </row>
        <row r="1934">
          <cell r="A1934" t="str">
            <v/>
          </cell>
        </row>
        <row r="1935">
          <cell r="A1935" t="str">
            <v/>
          </cell>
        </row>
        <row r="1936">
          <cell r="A1936" t="str">
            <v/>
          </cell>
        </row>
        <row r="1937">
          <cell r="A1937" t="str">
            <v/>
          </cell>
        </row>
        <row r="1938">
          <cell r="A1938" t="str">
            <v/>
          </cell>
        </row>
        <row r="1939">
          <cell r="A1939" t="str">
            <v/>
          </cell>
        </row>
        <row r="1940">
          <cell r="A1940" t="str">
            <v/>
          </cell>
        </row>
        <row r="1941">
          <cell r="A1941" t="str">
            <v/>
          </cell>
        </row>
        <row r="1942">
          <cell r="A1942" t="str">
            <v/>
          </cell>
        </row>
        <row r="1943">
          <cell r="A1943" t="str">
            <v/>
          </cell>
        </row>
        <row r="1944">
          <cell r="A1944" t="str">
            <v/>
          </cell>
        </row>
        <row r="1945">
          <cell r="A1945" t="str">
            <v/>
          </cell>
        </row>
        <row r="1946">
          <cell r="A1946" t="str">
            <v/>
          </cell>
        </row>
        <row r="1947">
          <cell r="A1947" t="str">
            <v/>
          </cell>
        </row>
        <row r="1948">
          <cell r="A1948" t="str">
            <v/>
          </cell>
        </row>
        <row r="1949">
          <cell r="A1949" t="str">
            <v/>
          </cell>
        </row>
        <row r="1950">
          <cell r="A1950" t="str">
            <v/>
          </cell>
        </row>
        <row r="1951">
          <cell r="A1951" t="str">
            <v/>
          </cell>
        </row>
        <row r="1952">
          <cell r="A1952" t="str">
            <v/>
          </cell>
        </row>
        <row r="1953">
          <cell r="A1953" t="str">
            <v/>
          </cell>
        </row>
        <row r="1954">
          <cell r="A1954" t="str">
            <v/>
          </cell>
        </row>
        <row r="1955">
          <cell r="A1955" t="str">
            <v/>
          </cell>
        </row>
        <row r="1956">
          <cell r="A1956" t="str">
            <v/>
          </cell>
        </row>
        <row r="1957">
          <cell r="A1957" t="str">
            <v/>
          </cell>
        </row>
        <row r="1958">
          <cell r="A1958" t="str">
            <v/>
          </cell>
        </row>
        <row r="1959">
          <cell r="A1959" t="str">
            <v/>
          </cell>
        </row>
        <row r="1960">
          <cell r="A1960" t="str">
            <v/>
          </cell>
        </row>
        <row r="1961">
          <cell r="A1961" t="str">
            <v/>
          </cell>
        </row>
        <row r="1962">
          <cell r="A1962" t="str">
            <v/>
          </cell>
        </row>
        <row r="1963">
          <cell r="A1963" t="str">
            <v/>
          </cell>
        </row>
        <row r="1964">
          <cell r="A1964" t="str">
            <v/>
          </cell>
        </row>
        <row r="1965">
          <cell r="A1965" t="str">
            <v/>
          </cell>
        </row>
        <row r="1966">
          <cell r="A1966" t="str">
            <v/>
          </cell>
        </row>
        <row r="1967">
          <cell r="A1967" t="str">
            <v/>
          </cell>
        </row>
        <row r="1968">
          <cell r="A1968" t="str">
            <v/>
          </cell>
        </row>
        <row r="1969">
          <cell r="A1969" t="str">
            <v/>
          </cell>
        </row>
        <row r="1970">
          <cell r="A1970" t="str">
            <v/>
          </cell>
        </row>
        <row r="1971">
          <cell r="A1971" t="str">
            <v/>
          </cell>
        </row>
        <row r="1972">
          <cell r="A1972" t="str">
            <v/>
          </cell>
        </row>
        <row r="1973">
          <cell r="A1973" t="str">
            <v/>
          </cell>
        </row>
        <row r="1974">
          <cell r="A1974" t="str">
            <v/>
          </cell>
        </row>
        <row r="1975">
          <cell r="A1975" t="str">
            <v/>
          </cell>
        </row>
        <row r="1976">
          <cell r="A1976" t="str">
            <v/>
          </cell>
        </row>
        <row r="1977">
          <cell r="A1977" t="str">
            <v/>
          </cell>
        </row>
        <row r="1978">
          <cell r="A1978" t="str">
            <v/>
          </cell>
        </row>
        <row r="1979">
          <cell r="A1979" t="str">
            <v/>
          </cell>
        </row>
        <row r="1980">
          <cell r="A1980" t="str">
            <v/>
          </cell>
        </row>
        <row r="1981">
          <cell r="A1981" t="str">
            <v/>
          </cell>
        </row>
        <row r="1982">
          <cell r="A1982" t="str">
            <v/>
          </cell>
        </row>
        <row r="1983">
          <cell r="A1983" t="str">
            <v/>
          </cell>
        </row>
        <row r="1984">
          <cell r="A1984" t="str">
            <v/>
          </cell>
        </row>
        <row r="1985">
          <cell r="A1985" t="str">
            <v/>
          </cell>
        </row>
        <row r="1986">
          <cell r="A1986" t="str">
            <v/>
          </cell>
        </row>
        <row r="1987">
          <cell r="A1987" t="str">
            <v/>
          </cell>
        </row>
        <row r="1988">
          <cell r="A1988" t="str">
            <v/>
          </cell>
        </row>
        <row r="1989">
          <cell r="A1989" t="str">
            <v/>
          </cell>
        </row>
        <row r="1990">
          <cell r="A1990" t="str">
            <v/>
          </cell>
        </row>
        <row r="1991">
          <cell r="A1991" t="str">
            <v/>
          </cell>
        </row>
        <row r="1992">
          <cell r="A1992" t="str">
            <v/>
          </cell>
        </row>
        <row r="1993">
          <cell r="A1993" t="str">
            <v/>
          </cell>
        </row>
        <row r="1994">
          <cell r="A1994" t="str">
            <v/>
          </cell>
        </row>
        <row r="1995">
          <cell r="A1995" t="str">
            <v/>
          </cell>
        </row>
        <row r="1996">
          <cell r="A1996" t="str">
            <v/>
          </cell>
        </row>
        <row r="1997">
          <cell r="A1997" t="str">
            <v/>
          </cell>
        </row>
        <row r="1998">
          <cell r="A1998" t="str">
            <v/>
          </cell>
        </row>
        <row r="1999">
          <cell r="A1999" t="str">
            <v/>
          </cell>
        </row>
        <row r="2000">
          <cell r="A2000" t="str">
            <v/>
          </cell>
        </row>
        <row r="2001">
          <cell r="A2001" t="str">
            <v/>
          </cell>
        </row>
        <row r="2002">
          <cell r="A2002" t="str">
            <v/>
          </cell>
        </row>
        <row r="2003">
          <cell r="A2003" t="str">
            <v/>
          </cell>
        </row>
        <row r="2004">
          <cell r="A2004" t="str">
            <v/>
          </cell>
        </row>
        <row r="2005">
          <cell r="A2005" t="str">
            <v/>
          </cell>
        </row>
        <row r="2006">
          <cell r="A2006" t="str">
            <v/>
          </cell>
        </row>
        <row r="2007">
          <cell r="A2007" t="str">
            <v/>
          </cell>
        </row>
        <row r="2008">
          <cell r="A2008" t="str">
            <v/>
          </cell>
        </row>
        <row r="2009">
          <cell r="A2009" t="str">
            <v/>
          </cell>
        </row>
        <row r="2010">
          <cell r="A2010" t="str">
            <v/>
          </cell>
        </row>
        <row r="2011">
          <cell r="A2011" t="str">
            <v/>
          </cell>
        </row>
        <row r="2012">
          <cell r="A2012" t="str">
            <v/>
          </cell>
        </row>
        <row r="2013">
          <cell r="A2013" t="str">
            <v/>
          </cell>
        </row>
        <row r="2014">
          <cell r="A2014" t="str">
            <v/>
          </cell>
        </row>
        <row r="2015">
          <cell r="A2015" t="str">
            <v/>
          </cell>
        </row>
        <row r="2016">
          <cell r="A2016" t="str">
            <v/>
          </cell>
        </row>
        <row r="2017">
          <cell r="A2017" t="str">
            <v/>
          </cell>
        </row>
        <row r="2018">
          <cell r="A2018" t="str">
            <v/>
          </cell>
        </row>
        <row r="2019">
          <cell r="A2019" t="str">
            <v/>
          </cell>
        </row>
        <row r="2020">
          <cell r="A2020" t="str">
            <v/>
          </cell>
        </row>
        <row r="2021">
          <cell r="A2021" t="str">
            <v/>
          </cell>
        </row>
        <row r="2022">
          <cell r="A2022" t="str">
            <v/>
          </cell>
        </row>
        <row r="2023">
          <cell r="A2023" t="str">
            <v/>
          </cell>
        </row>
        <row r="2024">
          <cell r="A2024" t="str">
            <v/>
          </cell>
        </row>
        <row r="2025">
          <cell r="A2025" t="str">
            <v/>
          </cell>
        </row>
        <row r="2026">
          <cell r="A2026" t="str">
            <v/>
          </cell>
        </row>
        <row r="2027">
          <cell r="A2027" t="str">
            <v/>
          </cell>
        </row>
        <row r="2028">
          <cell r="A2028" t="str">
            <v/>
          </cell>
        </row>
        <row r="2029">
          <cell r="A2029" t="str">
            <v/>
          </cell>
        </row>
        <row r="2030">
          <cell r="A2030" t="str">
            <v/>
          </cell>
        </row>
        <row r="2031">
          <cell r="A2031" t="str">
            <v/>
          </cell>
        </row>
        <row r="2032">
          <cell r="A2032" t="str">
            <v/>
          </cell>
        </row>
        <row r="2033">
          <cell r="A2033" t="str">
            <v/>
          </cell>
        </row>
        <row r="2034">
          <cell r="A2034" t="str">
            <v/>
          </cell>
        </row>
        <row r="2035">
          <cell r="A2035" t="str">
            <v/>
          </cell>
        </row>
        <row r="2036">
          <cell r="A2036" t="str">
            <v/>
          </cell>
        </row>
        <row r="2037">
          <cell r="A2037" t="str">
            <v/>
          </cell>
        </row>
        <row r="2038">
          <cell r="A2038" t="str">
            <v/>
          </cell>
        </row>
        <row r="2039">
          <cell r="A2039" t="str">
            <v/>
          </cell>
        </row>
        <row r="2040">
          <cell r="A2040" t="str">
            <v/>
          </cell>
        </row>
        <row r="2041">
          <cell r="A2041" t="str">
            <v/>
          </cell>
        </row>
        <row r="2042">
          <cell r="A2042" t="str">
            <v/>
          </cell>
        </row>
        <row r="2043">
          <cell r="A2043" t="str">
            <v/>
          </cell>
        </row>
        <row r="2044">
          <cell r="A2044" t="str">
            <v/>
          </cell>
        </row>
        <row r="2045">
          <cell r="A2045" t="str">
            <v/>
          </cell>
        </row>
        <row r="2046">
          <cell r="A2046" t="str">
            <v/>
          </cell>
        </row>
        <row r="2047">
          <cell r="A2047" t="str">
            <v/>
          </cell>
        </row>
        <row r="2048">
          <cell r="A2048" t="str">
            <v/>
          </cell>
        </row>
        <row r="2049">
          <cell r="A2049" t="str">
            <v/>
          </cell>
        </row>
        <row r="2050">
          <cell r="A2050" t="str">
            <v/>
          </cell>
        </row>
        <row r="2051">
          <cell r="A2051" t="str">
            <v/>
          </cell>
        </row>
        <row r="2052">
          <cell r="A2052" t="str">
            <v/>
          </cell>
        </row>
        <row r="2053">
          <cell r="A2053" t="str">
            <v/>
          </cell>
        </row>
        <row r="2054">
          <cell r="A2054" t="str">
            <v/>
          </cell>
        </row>
        <row r="2055">
          <cell r="A2055" t="str">
            <v/>
          </cell>
        </row>
        <row r="2056">
          <cell r="A2056" t="str">
            <v/>
          </cell>
        </row>
        <row r="2057">
          <cell r="A2057" t="str">
            <v/>
          </cell>
        </row>
        <row r="2058">
          <cell r="A2058" t="str">
            <v/>
          </cell>
        </row>
        <row r="2059">
          <cell r="A2059" t="str">
            <v/>
          </cell>
        </row>
        <row r="2060">
          <cell r="A2060" t="str">
            <v/>
          </cell>
        </row>
        <row r="2061">
          <cell r="A2061" t="str">
            <v/>
          </cell>
        </row>
        <row r="2062">
          <cell r="A2062" t="str">
            <v/>
          </cell>
        </row>
        <row r="2063">
          <cell r="A2063" t="str">
            <v/>
          </cell>
        </row>
        <row r="2064">
          <cell r="A2064" t="str">
            <v/>
          </cell>
        </row>
        <row r="2065">
          <cell r="A2065" t="str">
            <v/>
          </cell>
        </row>
        <row r="2066">
          <cell r="A2066" t="str">
            <v/>
          </cell>
        </row>
        <row r="2067">
          <cell r="A2067" t="str">
            <v/>
          </cell>
        </row>
        <row r="2068">
          <cell r="A2068" t="str">
            <v/>
          </cell>
        </row>
        <row r="2069">
          <cell r="A2069" t="str">
            <v/>
          </cell>
        </row>
        <row r="2070">
          <cell r="A2070" t="str">
            <v/>
          </cell>
        </row>
        <row r="2071">
          <cell r="A2071" t="str">
            <v/>
          </cell>
        </row>
        <row r="2072">
          <cell r="A2072" t="str">
            <v/>
          </cell>
        </row>
        <row r="2073">
          <cell r="A2073" t="str">
            <v/>
          </cell>
        </row>
        <row r="2074">
          <cell r="A2074" t="str">
            <v/>
          </cell>
        </row>
        <row r="2075">
          <cell r="A2075" t="str">
            <v/>
          </cell>
        </row>
        <row r="2076">
          <cell r="A2076" t="str">
            <v/>
          </cell>
        </row>
        <row r="2077">
          <cell r="A2077" t="str">
            <v/>
          </cell>
        </row>
        <row r="2078">
          <cell r="A2078" t="str">
            <v/>
          </cell>
        </row>
        <row r="2079">
          <cell r="A2079" t="str">
            <v/>
          </cell>
        </row>
        <row r="2080">
          <cell r="A2080" t="str">
            <v/>
          </cell>
        </row>
        <row r="2081">
          <cell r="A2081" t="str">
            <v/>
          </cell>
        </row>
        <row r="2082">
          <cell r="A2082" t="str">
            <v/>
          </cell>
        </row>
        <row r="2083">
          <cell r="A2083" t="str">
            <v/>
          </cell>
        </row>
        <row r="2084">
          <cell r="A2084" t="str">
            <v/>
          </cell>
        </row>
        <row r="2085">
          <cell r="A2085" t="str">
            <v/>
          </cell>
        </row>
        <row r="2086">
          <cell r="A2086" t="str">
            <v/>
          </cell>
        </row>
        <row r="2087">
          <cell r="A2087" t="str">
            <v/>
          </cell>
        </row>
        <row r="2088">
          <cell r="A2088" t="str">
            <v/>
          </cell>
        </row>
        <row r="2089">
          <cell r="A2089" t="str">
            <v/>
          </cell>
        </row>
        <row r="2090">
          <cell r="A2090" t="str">
            <v/>
          </cell>
        </row>
        <row r="2091">
          <cell r="A2091" t="str">
            <v/>
          </cell>
        </row>
        <row r="2092">
          <cell r="A2092" t="str">
            <v/>
          </cell>
        </row>
        <row r="2093">
          <cell r="A2093" t="str">
            <v/>
          </cell>
        </row>
        <row r="2094">
          <cell r="A2094" t="str">
            <v/>
          </cell>
        </row>
        <row r="2095">
          <cell r="A2095" t="str">
            <v/>
          </cell>
        </row>
        <row r="2096">
          <cell r="A2096" t="str">
            <v/>
          </cell>
        </row>
        <row r="2097">
          <cell r="A2097" t="str">
            <v/>
          </cell>
        </row>
        <row r="2098">
          <cell r="A2098" t="str">
            <v/>
          </cell>
        </row>
        <row r="2099">
          <cell r="A2099" t="str">
            <v/>
          </cell>
        </row>
        <row r="2100">
          <cell r="A2100" t="str">
            <v/>
          </cell>
        </row>
        <row r="2101">
          <cell r="A2101" t="str">
            <v/>
          </cell>
        </row>
        <row r="2102">
          <cell r="A2102" t="str">
            <v/>
          </cell>
        </row>
        <row r="2103">
          <cell r="A2103" t="str">
            <v/>
          </cell>
        </row>
        <row r="2104">
          <cell r="A2104" t="str">
            <v/>
          </cell>
        </row>
        <row r="2105">
          <cell r="A2105" t="str">
            <v/>
          </cell>
        </row>
        <row r="2106">
          <cell r="A2106" t="str">
            <v/>
          </cell>
        </row>
        <row r="2107">
          <cell r="A2107" t="str">
            <v/>
          </cell>
        </row>
        <row r="2108">
          <cell r="A2108" t="str">
            <v/>
          </cell>
        </row>
        <row r="2109">
          <cell r="A2109" t="str">
            <v/>
          </cell>
        </row>
        <row r="2110">
          <cell r="A2110" t="str">
            <v/>
          </cell>
        </row>
        <row r="2111">
          <cell r="A2111" t="str">
            <v/>
          </cell>
        </row>
        <row r="2112">
          <cell r="A2112" t="str">
            <v/>
          </cell>
        </row>
        <row r="2113">
          <cell r="A2113" t="str">
            <v/>
          </cell>
        </row>
        <row r="2114">
          <cell r="A2114" t="str">
            <v/>
          </cell>
        </row>
        <row r="2115">
          <cell r="A2115" t="str">
            <v/>
          </cell>
        </row>
        <row r="2116">
          <cell r="A2116" t="str">
            <v/>
          </cell>
        </row>
        <row r="2117">
          <cell r="A2117" t="str">
            <v/>
          </cell>
        </row>
        <row r="2118">
          <cell r="A2118" t="str">
            <v/>
          </cell>
        </row>
        <row r="2119">
          <cell r="A2119" t="str">
            <v/>
          </cell>
        </row>
        <row r="2120">
          <cell r="A2120" t="str">
            <v/>
          </cell>
        </row>
        <row r="2121">
          <cell r="A2121" t="str">
            <v/>
          </cell>
        </row>
        <row r="2122">
          <cell r="A2122" t="str">
            <v/>
          </cell>
        </row>
        <row r="2123">
          <cell r="A2123" t="str">
            <v/>
          </cell>
        </row>
        <row r="2124">
          <cell r="A2124" t="str">
            <v/>
          </cell>
        </row>
        <row r="2125">
          <cell r="A2125" t="str">
            <v/>
          </cell>
        </row>
        <row r="2126">
          <cell r="A2126" t="str">
            <v/>
          </cell>
        </row>
        <row r="2127">
          <cell r="A2127" t="str">
            <v/>
          </cell>
        </row>
        <row r="2128">
          <cell r="A2128" t="str">
            <v/>
          </cell>
        </row>
        <row r="2129">
          <cell r="A2129" t="str">
            <v/>
          </cell>
        </row>
        <row r="2130">
          <cell r="A2130" t="str">
            <v/>
          </cell>
        </row>
        <row r="2131">
          <cell r="A2131" t="str">
            <v/>
          </cell>
        </row>
        <row r="2132">
          <cell r="A2132" t="str">
            <v/>
          </cell>
        </row>
        <row r="2133">
          <cell r="A2133" t="str">
            <v/>
          </cell>
        </row>
        <row r="2134">
          <cell r="A2134" t="str">
            <v/>
          </cell>
        </row>
        <row r="2135">
          <cell r="A2135" t="str">
            <v/>
          </cell>
        </row>
        <row r="2136">
          <cell r="A2136" t="str">
            <v/>
          </cell>
        </row>
        <row r="2137">
          <cell r="A2137" t="str">
            <v/>
          </cell>
        </row>
        <row r="2138">
          <cell r="A2138" t="str">
            <v/>
          </cell>
        </row>
        <row r="2139">
          <cell r="A2139" t="str">
            <v/>
          </cell>
        </row>
        <row r="2140">
          <cell r="A2140" t="str">
            <v/>
          </cell>
        </row>
        <row r="2141">
          <cell r="A2141" t="str">
            <v/>
          </cell>
        </row>
        <row r="2142">
          <cell r="A2142" t="str">
            <v/>
          </cell>
        </row>
        <row r="2143">
          <cell r="A2143" t="str">
            <v/>
          </cell>
        </row>
        <row r="2144">
          <cell r="A2144" t="str">
            <v/>
          </cell>
        </row>
        <row r="2145">
          <cell r="A2145" t="str">
            <v/>
          </cell>
        </row>
        <row r="2146">
          <cell r="A2146" t="str">
            <v/>
          </cell>
        </row>
        <row r="2147">
          <cell r="A2147" t="str">
            <v/>
          </cell>
        </row>
        <row r="2148">
          <cell r="A2148" t="str">
            <v/>
          </cell>
        </row>
        <row r="2149">
          <cell r="A2149" t="str">
            <v/>
          </cell>
        </row>
        <row r="2150">
          <cell r="A2150" t="str">
            <v/>
          </cell>
        </row>
        <row r="2151">
          <cell r="A2151" t="str">
            <v/>
          </cell>
        </row>
        <row r="2152">
          <cell r="A2152" t="str">
            <v/>
          </cell>
        </row>
        <row r="2153">
          <cell r="A2153" t="str">
            <v/>
          </cell>
        </row>
        <row r="2154">
          <cell r="A2154" t="str">
            <v/>
          </cell>
        </row>
        <row r="2155">
          <cell r="A2155" t="str">
            <v/>
          </cell>
        </row>
        <row r="2156">
          <cell r="A2156" t="str">
            <v/>
          </cell>
        </row>
        <row r="2157">
          <cell r="A2157" t="str">
            <v/>
          </cell>
        </row>
        <row r="2158">
          <cell r="A2158" t="str">
            <v/>
          </cell>
        </row>
        <row r="2159">
          <cell r="A2159" t="str">
            <v/>
          </cell>
        </row>
        <row r="2160">
          <cell r="A2160" t="str">
            <v/>
          </cell>
        </row>
        <row r="2161">
          <cell r="A2161" t="str">
            <v/>
          </cell>
        </row>
        <row r="2162">
          <cell r="A2162" t="str">
            <v/>
          </cell>
        </row>
        <row r="2163">
          <cell r="A2163" t="str">
            <v/>
          </cell>
        </row>
        <row r="2164">
          <cell r="A2164" t="str">
            <v/>
          </cell>
        </row>
        <row r="2165">
          <cell r="A2165" t="str">
            <v/>
          </cell>
        </row>
        <row r="2166">
          <cell r="A2166" t="str">
            <v/>
          </cell>
        </row>
        <row r="2167">
          <cell r="A2167" t="str">
            <v/>
          </cell>
        </row>
        <row r="2168">
          <cell r="A2168" t="str">
            <v/>
          </cell>
        </row>
        <row r="2169">
          <cell r="A2169" t="str">
            <v/>
          </cell>
        </row>
        <row r="2170">
          <cell r="A2170" t="str">
            <v/>
          </cell>
        </row>
        <row r="2171">
          <cell r="A2171" t="str">
            <v/>
          </cell>
        </row>
        <row r="2172">
          <cell r="A2172" t="str">
            <v/>
          </cell>
        </row>
        <row r="2173">
          <cell r="A2173" t="str">
            <v/>
          </cell>
        </row>
        <row r="2174">
          <cell r="A2174" t="str">
            <v/>
          </cell>
        </row>
        <row r="2175">
          <cell r="A2175" t="str">
            <v/>
          </cell>
        </row>
        <row r="2176">
          <cell r="A2176" t="str">
            <v/>
          </cell>
        </row>
        <row r="2177">
          <cell r="A2177" t="str">
            <v/>
          </cell>
        </row>
        <row r="2178">
          <cell r="A2178" t="str">
            <v/>
          </cell>
        </row>
        <row r="2179">
          <cell r="A2179" t="str">
            <v/>
          </cell>
        </row>
        <row r="2180">
          <cell r="A2180" t="str">
            <v/>
          </cell>
        </row>
        <row r="2181">
          <cell r="A2181" t="str">
            <v/>
          </cell>
        </row>
        <row r="2182">
          <cell r="A2182" t="str">
            <v/>
          </cell>
        </row>
        <row r="2183">
          <cell r="A2183" t="str">
            <v/>
          </cell>
        </row>
        <row r="2184">
          <cell r="A2184" t="str">
            <v/>
          </cell>
        </row>
        <row r="2185">
          <cell r="A2185" t="str">
            <v/>
          </cell>
        </row>
        <row r="2186">
          <cell r="A2186" t="str">
            <v/>
          </cell>
        </row>
        <row r="2187">
          <cell r="A2187" t="str">
            <v/>
          </cell>
        </row>
        <row r="2188">
          <cell r="A2188" t="str">
            <v/>
          </cell>
        </row>
        <row r="2189">
          <cell r="A2189" t="str">
            <v/>
          </cell>
        </row>
        <row r="2190">
          <cell r="A2190" t="str">
            <v/>
          </cell>
        </row>
        <row r="2191">
          <cell r="A2191" t="str">
            <v/>
          </cell>
        </row>
        <row r="2192">
          <cell r="A2192" t="str">
            <v/>
          </cell>
        </row>
        <row r="2193">
          <cell r="A2193" t="str">
            <v/>
          </cell>
        </row>
        <row r="2194">
          <cell r="A2194" t="str">
            <v/>
          </cell>
        </row>
        <row r="2195">
          <cell r="A2195" t="str">
            <v/>
          </cell>
        </row>
        <row r="2196">
          <cell r="A2196" t="str">
            <v/>
          </cell>
        </row>
        <row r="2197">
          <cell r="A2197" t="str">
            <v/>
          </cell>
        </row>
        <row r="2198">
          <cell r="A2198" t="str">
            <v/>
          </cell>
        </row>
        <row r="2199">
          <cell r="A2199" t="str">
            <v/>
          </cell>
        </row>
        <row r="2200">
          <cell r="A2200" t="str">
            <v/>
          </cell>
        </row>
        <row r="2201">
          <cell r="A2201" t="str">
            <v/>
          </cell>
        </row>
        <row r="2202">
          <cell r="A2202" t="str">
            <v/>
          </cell>
        </row>
        <row r="2203">
          <cell r="A2203" t="str">
            <v/>
          </cell>
        </row>
        <row r="2204">
          <cell r="A2204" t="str">
            <v/>
          </cell>
        </row>
        <row r="2205">
          <cell r="A2205" t="str">
            <v/>
          </cell>
        </row>
        <row r="2206">
          <cell r="A2206" t="str">
            <v/>
          </cell>
        </row>
        <row r="2207">
          <cell r="A2207" t="str">
            <v/>
          </cell>
        </row>
        <row r="2208">
          <cell r="A2208" t="str">
            <v/>
          </cell>
        </row>
        <row r="2209">
          <cell r="A2209" t="str">
            <v/>
          </cell>
        </row>
        <row r="2210">
          <cell r="A2210" t="str">
            <v/>
          </cell>
        </row>
        <row r="2211">
          <cell r="A2211" t="str">
            <v/>
          </cell>
        </row>
        <row r="2212">
          <cell r="A2212" t="str">
            <v/>
          </cell>
        </row>
        <row r="2213">
          <cell r="A2213" t="str">
            <v/>
          </cell>
        </row>
        <row r="2214">
          <cell r="A2214" t="str">
            <v/>
          </cell>
        </row>
        <row r="2215">
          <cell r="A2215" t="str">
            <v/>
          </cell>
        </row>
        <row r="2216">
          <cell r="A2216" t="str">
            <v/>
          </cell>
        </row>
        <row r="2217">
          <cell r="A2217" t="str">
            <v/>
          </cell>
        </row>
        <row r="2218">
          <cell r="A2218" t="str">
            <v/>
          </cell>
        </row>
        <row r="2219">
          <cell r="A2219" t="str">
            <v/>
          </cell>
        </row>
        <row r="2220">
          <cell r="A2220" t="str">
            <v/>
          </cell>
        </row>
        <row r="2221">
          <cell r="A2221" t="str">
            <v/>
          </cell>
        </row>
        <row r="2222">
          <cell r="A2222" t="str">
            <v/>
          </cell>
        </row>
        <row r="2223">
          <cell r="A2223" t="str">
            <v/>
          </cell>
        </row>
        <row r="2224">
          <cell r="A2224" t="str">
            <v/>
          </cell>
        </row>
        <row r="2225">
          <cell r="A2225" t="str">
            <v/>
          </cell>
        </row>
        <row r="2226">
          <cell r="A2226" t="str">
            <v/>
          </cell>
        </row>
        <row r="2227">
          <cell r="A2227" t="str">
            <v/>
          </cell>
        </row>
        <row r="2228">
          <cell r="A2228" t="str">
            <v/>
          </cell>
        </row>
        <row r="2229">
          <cell r="A2229" t="str">
            <v/>
          </cell>
        </row>
        <row r="2230">
          <cell r="A2230" t="str">
            <v/>
          </cell>
        </row>
        <row r="2231">
          <cell r="A2231" t="str">
            <v/>
          </cell>
        </row>
        <row r="2232">
          <cell r="A2232" t="str">
            <v/>
          </cell>
        </row>
        <row r="2233">
          <cell r="A2233" t="str">
            <v/>
          </cell>
        </row>
        <row r="2234">
          <cell r="A2234" t="str">
            <v/>
          </cell>
        </row>
        <row r="2235">
          <cell r="A2235" t="str">
            <v/>
          </cell>
        </row>
        <row r="2236">
          <cell r="A2236" t="str">
            <v/>
          </cell>
        </row>
        <row r="2237">
          <cell r="A2237" t="str">
            <v/>
          </cell>
        </row>
        <row r="2238">
          <cell r="A2238" t="str">
            <v/>
          </cell>
        </row>
        <row r="2239">
          <cell r="A2239" t="str">
            <v/>
          </cell>
        </row>
        <row r="2240">
          <cell r="A2240" t="str">
            <v/>
          </cell>
        </row>
        <row r="2241">
          <cell r="A2241" t="str">
            <v/>
          </cell>
        </row>
        <row r="2242">
          <cell r="A2242" t="str">
            <v/>
          </cell>
        </row>
        <row r="2243">
          <cell r="A2243" t="str">
            <v/>
          </cell>
        </row>
        <row r="2244">
          <cell r="A2244" t="str">
            <v/>
          </cell>
        </row>
        <row r="2245">
          <cell r="A2245" t="str">
            <v/>
          </cell>
        </row>
        <row r="2246">
          <cell r="A2246" t="str">
            <v/>
          </cell>
        </row>
        <row r="2247">
          <cell r="A2247" t="str">
            <v/>
          </cell>
        </row>
        <row r="2248">
          <cell r="A2248" t="str">
            <v/>
          </cell>
        </row>
        <row r="2249">
          <cell r="A2249" t="str">
            <v/>
          </cell>
        </row>
        <row r="2250">
          <cell r="A2250" t="str">
            <v/>
          </cell>
        </row>
        <row r="2251">
          <cell r="A2251" t="str">
            <v/>
          </cell>
        </row>
        <row r="2252">
          <cell r="A2252" t="str">
            <v/>
          </cell>
        </row>
        <row r="2253">
          <cell r="A2253" t="str">
            <v/>
          </cell>
        </row>
        <row r="2254">
          <cell r="A2254" t="str">
            <v/>
          </cell>
        </row>
        <row r="2255">
          <cell r="A2255" t="str">
            <v/>
          </cell>
        </row>
        <row r="2256">
          <cell r="A2256" t="str">
            <v/>
          </cell>
        </row>
        <row r="2257">
          <cell r="A2257" t="str">
            <v/>
          </cell>
        </row>
        <row r="2258">
          <cell r="A2258" t="str">
            <v/>
          </cell>
        </row>
        <row r="2259">
          <cell r="A2259" t="str">
            <v/>
          </cell>
        </row>
        <row r="2260">
          <cell r="A2260" t="str">
            <v/>
          </cell>
        </row>
        <row r="2261">
          <cell r="A2261" t="str">
            <v/>
          </cell>
        </row>
        <row r="2262">
          <cell r="A2262" t="str">
            <v/>
          </cell>
        </row>
        <row r="2263">
          <cell r="A2263" t="str">
            <v/>
          </cell>
        </row>
        <row r="2264">
          <cell r="A2264" t="str">
            <v/>
          </cell>
        </row>
        <row r="2265">
          <cell r="A2265" t="str">
            <v/>
          </cell>
        </row>
        <row r="2266">
          <cell r="A2266" t="str">
            <v/>
          </cell>
        </row>
        <row r="2267">
          <cell r="A2267" t="str">
            <v/>
          </cell>
        </row>
        <row r="2268">
          <cell r="A2268" t="str">
            <v/>
          </cell>
        </row>
        <row r="2269">
          <cell r="A2269" t="str">
            <v/>
          </cell>
        </row>
        <row r="2270">
          <cell r="A2270" t="str">
            <v/>
          </cell>
        </row>
        <row r="2271">
          <cell r="A2271" t="str">
            <v/>
          </cell>
        </row>
        <row r="2272">
          <cell r="A2272" t="str">
            <v/>
          </cell>
        </row>
        <row r="2273">
          <cell r="A2273" t="str">
            <v/>
          </cell>
        </row>
        <row r="2274">
          <cell r="A2274" t="str">
            <v/>
          </cell>
        </row>
        <row r="2275">
          <cell r="A2275" t="str">
            <v/>
          </cell>
        </row>
        <row r="2276">
          <cell r="A2276" t="str">
            <v/>
          </cell>
        </row>
        <row r="2277">
          <cell r="A2277" t="str">
            <v/>
          </cell>
        </row>
        <row r="2278">
          <cell r="A2278" t="str">
            <v/>
          </cell>
        </row>
        <row r="2279">
          <cell r="A2279" t="str">
            <v/>
          </cell>
        </row>
        <row r="2280">
          <cell r="A2280" t="str">
            <v/>
          </cell>
        </row>
        <row r="2281">
          <cell r="A2281" t="str">
            <v/>
          </cell>
        </row>
        <row r="2282">
          <cell r="A2282" t="str">
            <v/>
          </cell>
        </row>
        <row r="2283">
          <cell r="A2283" t="str">
            <v/>
          </cell>
        </row>
        <row r="2284">
          <cell r="A2284" t="str">
            <v/>
          </cell>
        </row>
        <row r="2285">
          <cell r="A2285" t="str">
            <v/>
          </cell>
        </row>
        <row r="2286">
          <cell r="A2286" t="str">
            <v/>
          </cell>
        </row>
        <row r="2287">
          <cell r="A2287" t="str">
            <v/>
          </cell>
        </row>
        <row r="2288">
          <cell r="A2288" t="str">
            <v/>
          </cell>
        </row>
        <row r="2289">
          <cell r="A2289" t="str">
            <v/>
          </cell>
        </row>
        <row r="2290">
          <cell r="A2290" t="str">
            <v/>
          </cell>
        </row>
        <row r="2291">
          <cell r="A2291" t="str">
            <v/>
          </cell>
        </row>
        <row r="2292">
          <cell r="A2292" t="str">
            <v/>
          </cell>
        </row>
        <row r="2293">
          <cell r="A2293" t="str">
            <v/>
          </cell>
        </row>
        <row r="2294">
          <cell r="A2294" t="str">
            <v/>
          </cell>
        </row>
        <row r="2295">
          <cell r="A2295" t="str">
            <v/>
          </cell>
        </row>
        <row r="2296">
          <cell r="A2296" t="str">
            <v/>
          </cell>
        </row>
        <row r="2297">
          <cell r="A2297" t="str">
            <v/>
          </cell>
        </row>
        <row r="2298">
          <cell r="A2298" t="str">
            <v/>
          </cell>
        </row>
        <row r="2299">
          <cell r="A2299" t="str">
            <v/>
          </cell>
        </row>
        <row r="2300">
          <cell r="A2300" t="str">
            <v/>
          </cell>
        </row>
        <row r="2301">
          <cell r="A2301" t="str">
            <v/>
          </cell>
        </row>
        <row r="2302">
          <cell r="A2302" t="str">
            <v/>
          </cell>
        </row>
        <row r="2303">
          <cell r="A2303" t="str">
            <v/>
          </cell>
        </row>
        <row r="2304">
          <cell r="A2304" t="str">
            <v/>
          </cell>
        </row>
        <row r="2305">
          <cell r="A2305" t="str">
            <v/>
          </cell>
        </row>
        <row r="2306">
          <cell r="A2306" t="str">
            <v/>
          </cell>
        </row>
        <row r="2307">
          <cell r="A2307" t="str">
            <v/>
          </cell>
        </row>
        <row r="2308">
          <cell r="A2308" t="str">
            <v/>
          </cell>
        </row>
        <row r="2309">
          <cell r="A2309" t="str">
            <v/>
          </cell>
        </row>
        <row r="2310">
          <cell r="A2310" t="str">
            <v/>
          </cell>
        </row>
        <row r="2311">
          <cell r="A2311" t="str">
            <v/>
          </cell>
        </row>
        <row r="2312">
          <cell r="A2312" t="str">
            <v/>
          </cell>
        </row>
        <row r="2313">
          <cell r="A2313" t="str">
            <v/>
          </cell>
        </row>
        <row r="2314">
          <cell r="A2314" t="str">
            <v/>
          </cell>
        </row>
        <row r="2315">
          <cell r="A2315" t="str">
            <v/>
          </cell>
        </row>
        <row r="2316">
          <cell r="A2316" t="str">
            <v/>
          </cell>
        </row>
        <row r="2317">
          <cell r="A2317" t="str">
            <v/>
          </cell>
        </row>
        <row r="2318">
          <cell r="A2318" t="str">
            <v/>
          </cell>
        </row>
        <row r="2319">
          <cell r="A2319" t="str">
            <v/>
          </cell>
        </row>
        <row r="2320">
          <cell r="A2320" t="str">
            <v/>
          </cell>
        </row>
        <row r="2321">
          <cell r="A2321" t="str">
            <v/>
          </cell>
        </row>
        <row r="2322">
          <cell r="A2322" t="str">
            <v/>
          </cell>
        </row>
        <row r="2323">
          <cell r="A2323" t="str">
            <v/>
          </cell>
        </row>
        <row r="2324">
          <cell r="A2324" t="str">
            <v/>
          </cell>
        </row>
        <row r="2325">
          <cell r="A2325" t="str">
            <v/>
          </cell>
        </row>
        <row r="2326">
          <cell r="A2326" t="str">
            <v/>
          </cell>
        </row>
        <row r="2327">
          <cell r="A2327" t="str">
            <v/>
          </cell>
        </row>
        <row r="2328">
          <cell r="A2328" t="str">
            <v/>
          </cell>
        </row>
        <row r="2329">
          <cell r="A2329" t="str">
            <v/>
          </cell>
        </row>
        <row r="2330">
          <cell r="A2330" t="str">
            <v/>
          </cell>
        </row>
        <row r="2331">
          <cell r="A2331" t="str">
            <v/>
          </cell>
        </row>
        <row r="2332">
          <cell r="A2332" t="str">
            <v/>
          </cell>
        </row>
        <row r="2333">
          <cell r="A2333" t="str">
            <v/>
          </cell>
        </row>
        <row r="2334">
          <cell r="A2334" t="str">
            <v/>
          </cell>
        </row>
        <row r="2335">
          <cell r="A2335" t="str">
            <v/>
          </cell>
        </row>
        <row r="2336">
          <cell r="A2336" t="str">
            <v/>
          </cell>
        </row>
        <row r="2337">
          <cell r="A2337" t="str">
            <v/>
          </cell>
        </row>
        <row r="2338">
          <cell r="A2338" t="str">
            <v/>
          </cell>
        </row>
        <row r="2339">
          <cell r="A2339" t="str">
            <v/>
          </cell>
        </row>
        <row r="2340">
          <cell r="A2340" t="str">
            <v/>
          </cell>
        </row>
        <row r="2341">
          <cell r="A2341" t="str">
            <v/>
          </cell>
        </row>
        <row r="2342">
          <cell r="A2342" t="str">
            <v/>
          </cell>
        </row>
        <row r="2343">
          <cell r="A2343" t="str">
            <v/>
          </cell>
        </row>
        <row r="2344">
          <cell r="A2344" t="str">
            <v/>
          </cell>
        </row>
        <row r="2345">
          <cell r="A2345" t="str">
            <v/>
          </cell>
        </row>
        <row r="2346">
          <cell r="A2346" t="str">
            <v/>
          </cell>
        </row>
        <row r="2347">
          <cell r="A2347" t="str">
            <v/>
          </cell>
        </row>
        <row r="2348">
          <cell r="A2348" t="str">
            <v/>
          </cell>
        </row>
        <row r="2349">
          <cell r="A2349" t="str">
            <v/>
          </cell>
        </row>
        <row r="2350">
          <cell r="A2350" t="str">
            <v/>
          </cell>
        </row>
        <row r="2351">
          <cell r="A2351" t="str">
            <v/>
          </cell>
        </row>
        <row r="2352">
          <cell r="A2352" t="str">
            <v/>
          </cell>
        </row>
        <row r="2353">
          <cell r="A2353" t="str">
            <v/>
          </cell>
        </row>
        <row r="2354">
          <cell r="A2354" t="str">
            <v/>
          </cell>
        </row>
        <row r="2355">
          <cell r="A2355" t="str">
            <v/>
          </cell>
        </row>
        <row r="2356">
          <cell r="A2356" t="str">
            <v/>
          </cell>
        </row>
        <row r="2357">
          <cell r="A2357" t="str">
            <v/>
          </cell>
        </row>
        <row r="2358">
          <cell r="A2358" t="str">
            <v/>
          </cell>
        </row>
        <row r="2359">
          <cell r="A2359" t="str">
            <v/>
          </cell>
        </row>
        <row r="2360">
          <cell r="A2360" t="str">
            <v/>
          </cell>
        </row>
        <row r="2361">
          <cell r="A2361" t="str">
            <v/>
          </cell>
        </row>
        <row r="2362">
          <cell r="A2362" t="str">
            <v/>
          </cell>
        </row>
        <row r="2363">
          <cell r="A2363" t="str">
            <v/>
          </cell>
        </row>
        <row r="2364">
          <cell r="A2364" t="str">
            <v/>
          </cell>
        </row>
        <row r="2365">
          <cell r="A2365" t="str">
            <v/>
          </cell>
        </row>
        <row r="2366">
          <cell r="A2366" t="str">
            <v/>
          </cell>
        </row>
        <row r="2367">
          <cell r="A2367" t="str">
            <v/>
          </cell>
        </row>
        <row r="2368">
          <cell r="A2368" t="str">
            <v/>
          </cell>
        </row>
        <row r="2369">
          <cell r="A2369" t="str">
            <v/>
          </cell>
        </row>
        <row r="2370">
          <cell r="A2370" t="str">
            <v/>
          </cell>
        </row>
        <row r="2371">
          <cell r="A2371" t="str">
            <v/>
          </cell>
        </row>
        <row r="2372">
          <cell r="A2372" t="str">
            <v/>
          </cell>
        </row>
        <row r="2373">
          <cell r="A2373" t="str">
            <v/>
          </cell>
        </row>
        <row r="2374">
          <cell r="A2374" t="str">
            <v/>
          </cell>
        </row>
        <row r="2375">
          <cell r="A2375" t="str">
            <v/>
          </cell>
        </row>
        <row r="2376">
          <cell r="A2376" t="str">
            <v/>
          </cell>
        </row>
        <row r="2377">
          <cell r="A2377" t="str">
            <v/>
          </cell>
        </row>
        <row r="2378">
          <cell r="A2378" t="str">
            <v/>
          </cell>
        </row>
        <row r="2379">
          <cell r="A2379" t="str">
            <v/>
          </cell>
        </row>
        <row r="2380">
          <cell r="A2380" t="str">
            <v/>
          </cell>
        </row>
        <row r="2381">
          <cell r="A2381" t="str">
            <v/>
          </cell>
        </row>
        <row r="2382">
          <cell r="A2382" t="str">
            <v/>
          </cell>
        </row>
        <row r="2383">
          <cell r="A2383" t="str">
            <v/>
          </cell>
        </row>
        <row r="2384">
          <cell r="A2384" t="str">
            <v/>
          </cell>
        </row>
        <row r="2385">
          <cell r="A2385" t="str">
            <v/>
          </cell>
        </row>
        <row r="2386">
          <cell r="A2386" t="str">
            <v/>
          </cell>
        </row>
        <row r="2387">
          <cell r="A2387" t="str">
            <v/>
          </cell>
        </row>
        <row r="2388">
          <cell r="A2388" t="str">
            <v/>
          </cell>
        </row>
        <row r="2389">
          <cell r="A2389" t="str">
            <v/>
          </cell>
        </row>
        <row r="2390">
          <cell r="A2390" t="str">
            <v/>
          </cell>
        </row>
        <row r="2391">
          <cell r="A2391" t="str">
            <v/>
          </cell>
        </row>
        <row r="2392">
          <cell r="A2392" t="str">
            <v/>
          </cell>
        </row>
        <row r="2393">
          <cell r="A2393" t="str">
            <v/>
          </cell>
        </row>
        <row r="2394">
          <cell r="A2394" t="str">
            <v/>
          </cell>
        </row>
        <row r="2395">
          <cell r="A2395" t="str">
            <v/>
          </cell>
        </row>
        <row r="2396">
          <cell r="A2396" t="str">
            <v/>
          </cell>
        </row>
        <row r="2397">
          <cell r="A2397" t="str">
            <v/>
          </cell>
        </row>
        <row r="2398">
          <cell r="A2398" t="str">
            <v/>
          </cell>
        </row>
        <row r="2399">
          <cell r="A2399" t="str">
            <v/>
          </cell>
        </row>
        <row r="2400">
          <cell r="A2400" t="str">
            <v/>
          </cell>
        </row>
        <row r="2401">
          <cell r="A2401" t="str">
            <v/>
          </cell>
        </row>
        <row r="2402">
          <cell r="A2402" t="str">
            <v/>
          </cell>
        </row>
        <row r="2403">
          <cell r="A2403" t="str">
            <v/>
          </cell>
        </row>
        <row r="2404">
          <cell r="A2404" t="str">
            <v/>
          </cell>
        </row>
        <row r="2405">
          <cell r="A2405" t="str">
            <v/>
          </cell>
        </row>
        <row r="2406">
          <cell r="A2406" t="str">
            <v/>
          </cell>
        </row>
        <row r="2407">
          <cell r="A2407" t="str">
            <v/>
          </cell>
        </row>
        <row r="2408">
          <cell r="A2408" t="str">
            <v/>
          </cell>
        </row>
        <row r="2409">
          <cell r="A2409" t="str">
            <v/>
          </cell>
        </row>
        <row r="2410">
          <cell r="A2410" t="str">
            <v/>
          </cell>
        </row>
        <row r="2411">
          <cell r="A2411" t="str">
            <v/>
          </cell>
        </row>
        <row r="2412">
          <cell r="A2412" t="str">
            <v/>
          </cell>
        </row>
        <row r="2413">
          <cell r="A2413" t="str">
            <v/>
          </cell>
        </row>
        <row r="2414">
          <cell r="A2414" t="str">
            <v/>
          </cell>
        </row>
        <row r="2415">
          <cell r="A2415" t="str">
            <v/>
          </cell>
        </row>
        <row r="2416">
          <cell r="A2416" t="str">
            <v/>
          </cell>
        </row>
        <row r="2417">
          <cell r="A2417" t="str">
            <v/>
          </cell>
        </row>
        <row r="2418">
          <cell r="A2418" t="str">
            <v/>
          </cell>
        </row>
        <row r="2419">
          <cell r="A2419" t="str">
            <v/>
          </cell>
        </row>
        <row r="2420">
          <cell r="A2420" t="str">
            <v/>
          </cell>
        </row>
        <row r="2421">
          <cell r="A2421" t="str">
            <v/>
          </cell>
        </row>
        <row r="2422">
          <cell r="A2422" t="str">
            <v/>
          </cell>
        </row>
        <row r="2423">
          <cell r="A2423" t="str">
            <v/>
          </cell>
        </row>
        <row r="2424">
          <cell r="A2424" t="str">
            <v/>
          </cell>
        </row>
        <row r="2425">
          <cell r="A2425" t="str">
            <v/>
          </cell>
        </row>
        <row r="2426">
          <cell r="A2426" t="str">
            <v/>
          </cell>
        </row>
        <row r="2427">
          <cell r="A2427" t="str">
            <v/>
          </cell>
        </row>
        <row r="2428">
          <cell r="A2428" t="str">
            <v/>
          </cell>
        </row>
        <row r="2429">
          <cell r="A2429" t="str">
            <v/>
          </cell>
        </row>
        <row r="2430">
          <cell r="A2430" t="str">
            <v/>
          </cell>
        </row>
        <row r="2431">
          <cell r="A2431" t="str">
            <v/>
          </cell>
        </row>
        <row r="2432">
          <cell r="A2432" t="str">
            <v/>
          </cell>
        </row>
        <row r="2433">
          <cell r="A2433" t="str">
            <v/>
          </cell>
        </row>
        <row r="2434">
          <cell r="A2434" t="str">
            <v/>
          </cell>
        </row>
        <row r="2435">
          <cell r="A2435" t="str">
            <v/>
          </cell>
        </row>
        <row r="2436">
          <cell r="A2436" t="str">
            <v/>
          </cell>
        </row>
        <row r="2437">
          <cell r="A2437" t="str">
            <v/>
          </cell>
        </row>
        <row r="2438">
          <cell r="A2438" t="str">
            <v/>
          </cell>
        </row>
        <row r="2439">
          <cell r="A2439" t="str">
            <v/>
          </cell>
        </row>
        <row r="2440">
          <cell r="A2440" t="str">
            <v/>
          </cell>
        </row>
        <row r="2441">
          <cell r="A2441" t="str">
            <v/>
          </cell>
        </row>
        <row r="2442">
          <cell r="A2442" t="str">
            <v/>
          </cell>
        </row>
        <row r="2443">
          <cell r="A2443" t="str">
            <v/>
          </cell>
        </row>
        <row r="2444">
          <cell r="A2444" t="str">
            <v/>
          </cell>
        </row>
        <row r="2445">
          <cell r="A2445" t="str">
            <v/>
          </cell>
        </row>
        <row r="2446">
          <cell r="A2446" t="str">
            <v/>
          </cell>
        </row>
        <row r="2447">
          <cell r="A2447" t="str">
            <v/>
          </cell>
        </row>
        <row r="2448">
          <cell r="A2448" t="str">
            <v/>
          </cell>
        </row>
        <row r="2449">
          <cell r="A2449" t="str">
            <v/>
          </cell>
        </row>
        <row r="2450">
          <cell r="A2450" t="str">
            <v/>
          </cell>
        </row>
        <row r="2451">
          <cell r="A2451" t="str">
            <v/>
          </cell>
        </row>
        <row r="2452">
          <cell r="A2452" t="str">
            <v/>
          </cell>
        </row>
        <row r="2453">
          <cell r="A2453" t="str">
            <v/>
          </cell>
        </row>
        <row r="2454">
          <cell r="A2454" t="str">
            <v/>
          </cell>
        </row>
        <row r="2455">
          <cell r="A2455" t="str">
            <v/>
          </cell>
        </row>
        <row r="2456">
          <cell r="A2456" t="str">
            <v/>
          </cell>
        </row>
        <row r="2457">
          <cell r="A2457" t="str">
            <v/>
          </cell>
        </row>
        <row r="2458">
          <cell r="A2458" t="str">
            <v/>
          </cell>
        </row>
        <row r="2459">
          <cell r="A2459" t="str">
            <v/>
          </cell>
        </row>
        <row r="2460">
          <cell r="A2460" t="str">
            <v/>
          </cell>
        </row>
        <row r="2461">
          <cell r="A2461" t="str">
            <v/>
          </cell>
        </row>
        <row r="2462">
          <cell r="A2462" t="str">
            <v/>
          </cell>
        </row>
        <row r="2463">
          <cell r="A2463" t="str">
            <v/>
          </cell>
        </row>
        <row r="2464">
          <cell r="A2464" t="str">
            <v/>
          </cell>
        </row>
        <row r="2465">
          <cell r="A2465" t="str">
            <v/>
          </cell>
        </row>
        <row r="2466">
          <cell r="A2466" t="str">
            <v/>
          </cell>
        </row>
        <row r="2467">
          <cell r="A2467" t="str">
            <v/>
          </cell>
        </row>
        <row r="2468">
          <cell r="A2468" t="str">
            <v/>
          </cell>
        </row>
        <row r="2469">
          <cell r="A2469" t="str">
            <v/>
          </cell>
        </row>
        <row r="2470">
          <cell r="A2470" t="str">
            <v/>
          </cell>
        </row>
        <row r="2471">
          <cell r="A2471" t="str">
            <v/>
          </cell>
        </row>
        <row r="2472">
          <cell r="A2472" t="str">
            <v/>
          </cell>
        </row>
        <row r="2473">
          <cell r="A2473" t="str">
            <v/>
          </cell>
        </row>
        <row r="2474">
          <cell r="A2474" t="str">
            <v/>
          </cell>
        </row>
        <row r="2475">
          <cell r="A2475" t="str">
            <v/>
          </cell>
        </row>
        <row r="2476">
          <cell r="A2476" t="str">
            <v/>
          </cell>
        </row>
        <row r="2477">
          <cell r="A2477" t="str">
            <v/>
          </cell>
        </row>
        <row r="2478">
          <cell r="A2478" t="str">
            <v/>
          </cell>
        </row>
        <row r="2479">
          <cell r="A2479" t="str">
            <v/>
          </cell>
        </row>
        <row r="2480">
          <cell r="A2480" t="str">
            <v/>
          </cell>
        </row>
        <row r="2481">
          <cell r="A2481" t="str">
            <v/>
          </cell>
        </row>
        <row r="2482">
          <cell r="A2482" t="str">
            <v/>
          </cell>
        </row>
        <row r="2483">
          <cell r="A2483" t="str">
            <v/>
          </cell>
        </row>
        <row r="2484">
          <cell r="A2484" t="str">
            <v/>
          </cell>
        </row>
        <row r="2485">
          <cell r="A2485" t="str">
            <v/>
          </cell>
        </row>
        <row r="2486">
          <cell r="A2486" t="str">
            <v/>
          </cell>
        </row>
        <row r="2487">
          <cell r="A2487" t="str">
            <v/>
          </cell>
        </row>
        <row r="2488">
          <cell r="A2488" t="str">
            <v/>
          </cell>
        </row>
        <row r="2489">
          <cell r="A2489" t="str">
            <v/>
          </cell>
        </row>
        <row r="2490">
          <cell r="A2490" t="str">
            <v/>
          </cell>
        </row>
        <row r="2491">
          <cell r="A2491" t="str">
            <v/>
          </cell>
        </row>
        <row r="2492">
          <cell r="A2492" t="str">
            <v/>
          </cell>
        </row>
        <row r="2493">
          <cell r="A2493" t="str">
            <v/>
          </cell>
        </row>
        <row r="2494">
          <cell r="A2494" t="str">
            <v/>
          </cell>
        </row>
        <row r="2495">
          <cell r="A2495" t="str">
            <v/>
          </cell>
        </row>
        <row r="2496">
          <cell r="A2496" t="str">
            <v/>
          </cell>
        </row>
        <row r="2497">
          <cell r="A2497" t="str">
            <v/>
          </cell>
        </row>
        <row r="2498">
          <cell r="A2498" t="str">
            <v/>
          </cell>
        </row>
        <row r="2499">
          <cell r="A2499" t="str">
            <v/>
          </cell>
        </row>
        <row r="2500">
          <cell r="A2500" t="str">
            <v/>
          </cell>
        </row>
        <row r="2501">
          <cell r="A2501" t="str">
            <v/>
          </cell>
        </row>
        <row r="2502">
          <cell r="A2502" t="str">
            <v/>
          </cell>
        </row>
        <row r="2503">
          <cell r="A2503" t="str">
            <v/>
          </cell>
        </row>
        <row r="2504">
          <cell r="A2504" t="str">
            <v/>
          </cell>
        </row>
        <row r="2505">
          <cell r="A2505" t="str">
            <v/>
          </cell>
        </row>
        <row r="2506">
          <cell r="A2506" t="str">
            <v/>
          </cell>
        </row>
        <row r="2507">
          <cell r="A2507" t="str">
            <v/>
          </cell>
        </row>
        <row r="2508">
          <cell r="A2508" t="str">
            <v/>
          </cell>
        </row>
        <row r="2509">
          <cell r="A2509" t="str">
            <v/>
          </cell>
        </row>
        <row r="2510">
          <cell r="A2510" t="str">
            <v/>
          </cell>
        </row>
        <row r="2511">
          <cell r="A2511" t="str">
            <v/>
          </cell>
        </row>
        <row r="2512">
          <cell r="A2512" t="str">
            <v/>
          </cell>
        </row>
        <row r="2513">
          <cell r="A2513" t="str">
            <v/>
          </cell>
        </row>
        <row r="2514">
          <cell r="A2514" t="str">
            <v/>
          </cell>
        </row>
        <row r="2515">
          <cell r="A2515" t="str">
            <v/>
          </cell>
        </row>
        <row r="2516">
          <cell r="A2516" t="str">
            <v/>
          </cell>
        </row>
        <row r="2517">
          <cell r="A2517" t="str">
            <v/>
          </cell>
        </row>
        <row r="2518">
          <cell r="A2518" t="str">
            <v/>
          </cell>
        </row>
        <row r="2519">
          <cell r="A2519" t="str">
            <v/>
          </cell>
        </row>
        <row r="2520">
          <cell r="A2520" t="str">
            <v/>
          </cell>
        </row>
        <row r="2521">
          <cell r="A2521" t="str">
            <v/>
          </cell>
        </row>
        <row r="2522">
          <cell r="A2522" t="str">
            <v/>
          </cell>
        </row>
        <row r="2523">
          <cell r="A2523" t="str">
            <v/>
          </cell>
        </row>
        <row r="2524">
          <cell r="A2524" t="str">
            <v/>
          </cell>
        </row>
        <row r="2525">
          <cell r="A2525" t="str">
            <v/>
          </cell>
        </row>
        <row r="2526">
          <cell r="A2526" t="str">
            <v/>
          </cell>
        </row>
        <row r="2527">
          <cell r="A2527" t="str">
            <v/>
          </cell>
        </row>
        <row r="2528">
          <cell r="A2528" t="str">
            <v/>
          </cell>
        </row>
        <row r="2529">
          <cell r="A2529" t="str">
            <v/>
          </cell>
        </row>
        <row r="2530">
          <cell r="A2530" t="str">
            <v/>
          </cell>
        </row>
        <row r="2531">
          <cell r="A2531" t="str">
            <v/>
          </cell>
        </row>
        <row r="2532">
          <cell r="A2532" t="str">
            <v/>
          </cell>
        </row>
        <row r="2533">
          <cell r="A2533" t="str">
            <v/>
          </cell>
        </row>
        <row r="2534">
          <cell r="A2534" t="str">
            <v/>
          </cell>
        </row>
        <row r="2535">
          <cell r="A2535" t="str">
            <v/>
          </cell>
        </row>
        <row r="2536">
          <cell r="A2536" t="str">
            <v/>
          </cell>
        </row>
        <row r="2537">
          <cell r="A2537" t="str">
            <v/>
          </cell>
        </row>
        <row r="2538">
          <cell r="A2538" t="str">
            <v/>
          </cell>
        </row>
        <row r="2539">
          <cell r="A2539" t="str">
            <v/>
          </cell>
        </row>
        <row r="2540">
          <cell r="A2540" t="str">
            <v/>
          </cell>
        </row>
        <row r="2541">
          <cell r="A2541" t="str">
            <v/>
          </cell>
        </row>
        <row r="2542">
          <cell r="A2542" t="str">
            <v/>
          </cell>
        </row>
        <row r="2543">
          <cell r="A2543" t="str">
            <v/>
          </cell>
        </row>
        <row r="2544">
          <cell r="A2544" t="str">
            <v/>
          </cell>
        </row>
        <row r="2545">
          <cell r="A2545" t="str">
            <v/>
          </cell>
        </row>
        <row r="2546">
          <cell r="A2546" t="str">
            <v/>
          </cell>
        </row>
        <row r="2547">
          <cell r="A2547" t="str">
            <v/>
          </cell>
        </row>
        <row r="2548">
          <cell r="A2548" t="str">
            <v/>
          </cell>
        </row>
        <row r="2549">
          <cell r="A2549" t="str">
            <v/>
          </cell>
        </row>
        <row r="2550">
          <cell r="A2550" t="str">
            <v/>
          </cell>
        </row>
        <row r="2551">
          <cell r="A2551" t="str">
            <v/>
          </cell>
        </row>
        <row r="2552">
          <cell r="A2552" t="str">
            <v/>
          </cell>
        </row>
        <row r="2553">
          <cell r="A2553" t="str">
            <v/>
          </cell>
        </row>
        <row r="2554">
          <cell r="A2554" t="str">
            <v/>
          </cell>
        </row>
        <row r="2555">
          <cell r="A2555" t="str">
            <v/>
          </cell>
        </row>
        <row r="2556">
          <cell r="A2556" t="str">
            <v/>
          </cell>
        </row>
        <row r="2557">
          <cell r="A2557" t="str">
            <v/>
          </cell>
        </row>
        <row r="2558">
          <cell r="A2558" t="str">
            <v/>
          </cell>
        </row>
        <row r="2559">
          <cell r="A2559" t="str">
            <v/>
          </cell>
        </row>
        <row r="2560">
          <cell r="A2560" t="str">
            <v/>
          </cell>
        </row>
        <row r="2561">
          <cell r="A2561" t="str">
            <v/>
          </cell>
        </row>
        <row r="2562">
          <cell r="A2562" t="str">
            <v/>
          </cell>
        </row>
        <row r="2563">
          <cell r="A2563" t="str">
            <v/>
          </cell>
        </row>
        <row r="2564">
          <cell r="A2564" t="str">
            <v/>
          </cell>
        </row>
        <row r="2565">
          <cell r="A2565" t="str">
            <v/>
          </cell>
        </row>
        <row r="2566">
          <cell r="A2566" t="str">
            <v/>
          </cell>
        </row>
        <row r="2567">
          <cell r="A2567" t="str">
            <v/>
          </cell>
        </row>
        <row r="2568">
          <cell r="A2568" t="str">
            <v/>
          </cell>
        </row>
        <row r="2569">
          <cell r="A2569" t="str">
            <v/>
          </cell>
        </row>
        <row r="2570">
          <cell r="A2570" t="str">
            <v/>
          </cell>
        </row>
        <row r="2571">
          <cell r="A2571" t="str">
            <v/>
          </cell>
        </row>
        <row r="2572">
          <cell r="A2572" t="str">
            <v/>
          </cell>
        </row>
        <row r="2573">
          <cell r="A2573" t="str">
            <v/>
          </cell>
        </row>
        <row r="2574">
          <cell r="A2574" t="str">
            <v/>
          </cell>
        </row>
        <row r="2575">
          <cell r="A2575" t="str">
            <v/>
          </cell>
        </row>
        <row r="2576">
          <cell r="A2576" t="str">
            <v/>
          </cell>
        </row>
        <row r="2577">
          <cell r="A2577" t="str">
            <v/>
          </cell>
        </row>
        <row r="2578">
          <cell r="A2578" t="str">
            <v/>
          </cell>
        </row>
        <row r="2579">
          <cell r="A2579" t="str">
            <v/>
          </cell>
        </row>
        <row r="2580">
          <cell r="A2580" t="str">
            <v/>
          </cell>
        </row>
        <row r="2581">
          <cell r="A2581" t="str">
            <v/>
          </cell>
        </row>
        <row r="2582">
          <cell r="A2582" t="str">
            <v/>
          </cell>
        </row>
        <row r="2583">
          <cell r="A2583" t="str">
            <v/>
          </cell>
        </row>
        <row r="2584">
          <cell r="A2584" t="str">
            <v/>
          </cell>
        </row>
        <row r="2585">
          <cell r="A2585" t="str">
            <v/>
          </cell>
        </row>
        <row r="2586">
          <cell r="A2586" t="str">
            <v/>
          </cell>
        </row>
        <row r="2587">
          <cell r="A2587" t="str">
            <v/>
          </cell>
        </row>
        <row r="2588">
          <cell r="A2588" t="str">
            <v/>
          </cell>
        </row>
        <row r="2589">
          <cell r="A2589" t="str">
            <v/>
          </cell>
        </row>
        <row r="2590">
          <cell r="A2590" t="str">
            <v/>
          </cell>
        </row>
        <row r="2591">
          <cell r="A2591" t="str">
            <v/>
          </cell>
        </row>
        <row r="2592">
          <cell r="A2592" t="str">
            <v/>
          </cell>
        </row>
        <row r="2593">
          <cell r="A2593" t="str">
            <v/>
          </cell>
        </row>
        <row r="2594">
          <cell r="A2594" t="str">
            <v/>
          </cell>
        </row>
        <row r="2595">
          <cell r="A2595" t="str">
            <v/>
          </cell>
        </row>
        <row r="2596">
          <cell r="A2596" t="str">
            <v/>
          </cell>
        </row>
        <row r="2597">
          <cell r="A2597" t="str">
            <v/>
          </cell>
        </row>
        <row r="2598">
          <cell r="A2598" t="str">
            <v/>
          </cell>
        </row>
        <row r="2599">
          <cell r="A2599" t="str">
            <v/>
          </cell>
        </row>
        <row r="2600">
          <cell r="A2600" t="str">
            <v/>
          </cell>
        </row>
        <row r="2601">
          <cell r="A2601" t="str">
            <v/>
          </cell>
        </row>
        <row r="2602">
          <cell r="A2602" t="str">
            <v/>
          </cell>
        </row>
        <row r="2603">
          <cell r="A2603" t="str">
            <v/>
          </cell>
        </row>
        <row r="2604">
          <cell r="A2604" t="str">
            <v/>
          </cell>
        </row>
        <row r="2605">
          <cell r="A2605" t="str">
            <v/>
          </cell>
        </row>
        <row r="2606">
          <cell r="A2606" t="str">
            <v/>
          </cell>
        </row>
        <row r="2607">
          <cell r="A2607" t="str">
            <v/>
          </cell>
        </row>
        <row r="2608">
          <cell r="A2608" t="str">
            <v/>
          </cell>
        </row>
        <row r="2609">
          <cell r="A2609" t="str">
            <v/>
          </cell>
        </row>
        <row r="2610">
          <cell r="A2610" t="str">
            <v/>
          </cell>
        </row>
        <row r="2611">
          <cell r="A2611" t="str">
            <v/>
          </cell>
        </row>
        <row r="2612">
          <cell r="A2612" t="str">
            <v/>
          </cell>
        </row>
        <row r="2613">
          <cell r="A2613" t="str">
            <v/>
          </cell>
        </row>
        <row r="2614">
          <cell r="A2614" t="str">
            <v/>
          </cell>
        </row>
        <row r="2615">
          <cell r="A2615" t="str">
            <v/>
          </cell>
        </row>
        <row r="2616">
          <cell r="A2616" t="str">
            <v/>
          </cell>
        </row>
        <row r="2617">
          <cell r="A2617" t="str">
            <v/>
          </cell>
        </row>
        <row r="2618">
          <cell r="A2618" t="str">
            <v/>
          </cell>
        </row>
        <row r="2619">
          <cell r="A2619" t="str">
            <v/>
          </cell>
        </row>
        <row r="2620">
          <cell r="A2620" t="str">
            <v/>
          </cell>
        </row>
        <row r="2621">
          <cell r="A2621" t="str">
            <v/>
          </cell>
        </row>
        <row r="2622">
          <cell r="A2622" t="str">
            <v/>
          </cell>
        </row>
        <row r="2623">
          <cell r="A2623" t="str">
            <v/>
          </cell>
        </row>
        <row r="2624">
          <cell r="A2624" t="str">
            <v/>
          </cell>
        </row>
        <row r="2625">
          <cell r="A2625" t="str">
            <v/>
          </cell>
        </row>
        <row r="2626">
          <cell r="A2626" t="str">
            <v/>
          </cell>
        </row>
        <row r="2627">
          <cell r="A2627" t="str">
            <v/>
          </cell>
        </row>
        <row r="2628">
          <cell r="A2628" t="str">
            <v/>
          </cell>
        </row>
        <row r="2629">
          <cell r="A2629" t="str">
            <v/>
          </cell>
        </row>
        <row r="2630">
          <cell r="A2630" t="str">
            <v/>
          </cell>
        </row>
        <row r="2631">
          <cell r="A2631" t="str">
            <v/>
          </cell>
        </row>
        <row r="2632">
          <cell r="A2632" t="str">
            <v/>
          </cell>
        </row>
        <row r="2633">
          <cell r="A2633" t="str">
            <v/>
          </cell>
        </row>
        <row r="2634">
          <cell r="A2634" t="str">
            <v/>
          </cell>
        </row>
        <row r="2635">
          <cell r="A2635" t="str">
            <v/>
          </cell>
        </row>
        <row r="2636">
          <cell r="A2636" t="str">
            <v/>
          </cell>
        </row>
        <row r="2637">
          <cell r="A2637" t="str">
            <v/>
          </cell>
        </row>
        <row r="2638">
          <cell r="A2638" t="str">
            <v/>
          </cell>
        </row>
        <row r="2639">
          <cell r="A2639" t="str">
            <v/>
          </cell>
        </row>
        <row r="2640">
          <cell r="A2640" t="str">
            <v/>
          </cell>
        </row>
        <row r="2641">
          <cell r="A2641" t="str">
            <v/>
          </cell>
        </row>
        <row r="2642">
          <cell r="A2642" t="str">
            <v/>
          </cell>
        </row>
        <row r="2643">
          <cell r="A2643" t="str">
            <v/>
          </cell>
        </row>
        <row r="2644">
          <cell r="A2644" t="str">
            <v/>
          </cell>
        </row>
        <row r="2645">
          <cell r="A2645" t="str">
            <v/>
          </cell>
        </row>
        <row r="2646">
          <cell r="A2646" t="str">
            <v/>
          </cell>
        </row>
        <row r="2647">
          <cell r="A2647" t="str">
            <v/>
          </cell>
        </row>
        <row r="2648">
          <cell r="A2648" t="str">
            <v/>
          </cell>
        </row>
        <row r="2649">
          <cell r="A2649" t="str">
            <v/>
          </cell>
        </row>
        <row r="2650">
          <cell r="A2650" t="str">
            <v/>
          </cell>
        </row>
        <row r="2651">
          <cell r="A2651" t="str">
            <v/>
          </cell>
        </row>
        <row r="2652">
          <cell r="A2652" t="str">
            <v/>
          </cell>
        </row>
        <row r="2653">
          <cell r="A2653" t="str">
            <v/>
          </cell>
        </row>
        <row r="2654">
          <cell r="A2654" t="str">
            <v/>
          </cell>
        </row>
        <row r="2655">
          <cell r="A2655" t="str">
            <v/>
          </cell>
        </row>
        <row r="2656">
          <cell r="A2656" t="str">
            <v/>
          </cell>
        </row>
        <row r="2657">
          <cell r="A2657" t="str">
            <v/>
          </cell>
        </row>
        <row r="2658">
          <cell r="A2658" t="str">
            <v/>
          </cell>
        </row>
        <row r="2659">
          <cell r="A2659" t="str">
            <v/>
          </cell>
        </row>
        <row r="2660">
          <cell r="A2660" t="str">
            <v/>
          </cell>
        </row>
        <row r="2661">
          <cell r="A2661" t="str">
            <v/>
          </cell>
        </row>
        <row r="2662">
          <cell r="A2662" t="str">
            <v/>
          </cell>
        </row>
        <row r="2663">
          <cell r="A2663" t="str">
            <v/>
          </cell>
        </row>
        <row r="2664">
          <cell r="A2664" t="str">
            <v/>
          </cell>
        </row>
        <row r="2665">
          <cell r="A2665" t="str">
            <v/>
          </cell>
        </row>
        <row r="2666">
          <cell r="A2666" t="str">
            <v/>
          </cell>
        </row>
        <row r="2667">
          <cell r="A2667" t="str">
            <v/>
          </cell>
        </row>
        <row r="2668">
          <cell r="A2668" t="str">
            <v/>
          </cell>
        </row>
        <row r="2669">
          <cell r="A2669" t="str">
            <v/>
          </cell>
        </row>
        <row r="2670">
          <cell r="A2670" t="str">
            <v/>
          </cell>
        </row>
        <row r="2671">
          <cell r="A2671" t="str">
            <v/>
          </cell>
        </row>
        <row r="2672">
          <cell r="A2672" t="str">
            <v/>
          </cell>
        </row>
        <row r="2673">
          <cell r="A2673" t="str">
            <v/>
          </cell>
        </row>
        <row r="2674">
          <cell r="A2674" t="str">
            <v/>
          </cell>
        </row>
        <row r="2675">
          <cell r="A2675" t="str">
            <v/>
          </cell>
        </row>
        <row r="2676">
          <cell r="A2676" t="str">
            <v/>
          </cell>
        </row>
        <row r="2677">
          <cell r="A2677" t="str">
            <v/>
          </cell>
        </row>
        <row r="2678">
          <cell r="A2678" t="str">
            <v/>
          </cell>
        </row>
        <row r="2679">
          <cell r="A2679" t="str">
            <v/>
          </cell>
        </row>
        <row r="2680">
          <cell r="A2680" t="str">
            <v/>
          </cell>
        </row>
        <row r="2681">
          <cell r="A2681" t="str">
            <v/>
          </cell>
        </row>
        <row r="2682">
          <cell r="A2682" t="str">
            <v/>
          </cell>
        </row>
        <row r="2683">
          <cell r="A2683" t="str">
            <v/>
          </cell>
        </row>
        <row r="2684">
          <cell r="A2684" t="str">
            <v/>
          </cell>
        </row>
        <row r="2685">
          <cell r="A2685" t="str">
            <v/>
          </cell>
        </row>
        <row r="2686">
          <cell r="A2686" t="str">
            <v/>
          </cell>
        </row>
        <row r="2687">
          <cell r="A2687" t="str">
            <v/>
          </cell>
        </row>
        <row r="2688">
          <cell r="A2688" t="str">
            <v/>
          </cell>
        </row>
        <row r="2689">
          <cell r="A2689" t="str">
            <v/>
          </cell>
        </row>
        <row r="2690">
          <cell r="A2690" t="str">
            <v/>
          </cell>
        </row>
        <row r="2691">
          <cell r="A2691" t="str">
            <v/>
          </cell>
        </row>
        <row r="2692">
          <cell r="A2692" t="str">
            <v/>
          </cell>
        </row>
        <row r="2693">
          <cell r="A2693" t="str">
            <v/>
          </cell>
        </row>
        <row r="2694">
          <cell r="A2694" t="str">
            <v/>
          </cell>
        </row>
        <row r="2695">
          <cell r="A2695" t="str">
            <v/>
          </cell>
        </row>
        <row r="2696">
          <cell r="A2696" t="str">
            <v/>
          </cell>
        </row>
        <row r="2697">
          <cell r="A2697" t="str">
            <v/>
          </cell>
        </row>
        <row r="2698">
          <cell r="A2698" t="str">
            <v/>
          </cell>
        </row>
        <row r="2699">
          <cell r="A2699" t="str">
            <v/>
          </cell>
        </row>
        <row r="2700">
          <cell r="A2700" t="str">
            <v/>
          </cell>
        </row>
        <row r="2701">
          <cell r="A2701" t="str">
            <v/>
          </cell>
        </row>
        <row r="2702">
          <cell r="A2702" t="str">
            <v/>
          </cell>
        </row>
        <row r="2703">
          <cell r="A2703" t="str">
            <v/>
          </cell>
        </row>
        <row r="2704">
          <cell r="A2704" t="str">
            <v/>
          </cell>
        </row>
        <row r="2705">
          <cell r="A2705" t="str">
            <v/>
          </cell>
        </row>
        <row r="2706">
          <cell r="A2706" t="str">
            <v/>
          </cell>
        </row>
        <row r="2707">
          <cell r="A2707" t="str">
            <v/>
          </cell>
        </row>
        <row r="2708">
          <cell r="A2708" t="str">
            <v/>
          </cell>
        </row>
        <row r="2709">
          <cell r="A2709" t="str">
            <v/>
          </cell>
        </row>
        <row r="2710">
          <cell r="A2710" t="str">
            <v/>
          </cell>
        </row>
        <row r="2711">
          <cell r="A2711" t="str">
            <v/>
          </cell>
        </row>
        <row r="2712">
          <cell r="A2712" t="str">
            <v/>
          </cell>
        </row>
        <row r="2713">
          <cell r="A2713" t="str">
            <v/>
          </cell>
        </row>
        <row r="2714">
          <cell r="A2714" t="str">
            <v/>
          </cell>
        </row>
        <row r="2715">
          <cell r="A2715" t="str">
            <v/>
          </cell>
        </row>
        <row r="2716">
          <cell r="A2716" t="str">
            <v/>
          </cell>
        </row>
        <row r="2717">
          <cell r="A2717" t="str">
            <v/>
          </cell>
        </row>
        <row r="2718">
          <cell r="A2718" t="str">
            <v/>
          </cell>
        </row>
        <row r="2719">
          <cell r="A2719" t="str">
            <v/>
          </cell>
        </row>
        <row r="2720">
          <cell r="A2720" t="str">
            <v/>
          </cell>
        </row>
        <row r="2721">
          <cell r="A2721" t="str">
            <v/>
          </cell>
        </row>
        <row r="2722">
          <cell r="A2722" t="str">
            <v/>
          </cell>
        </row>
        <row r="2723">
          <cell r="A2723" t="str">
            <v/>
          </cell>
        </row>
        <row r="2724">
          <cell r="A2724" t="str">
            <v/>
          </cell>
        </row>
        <row r="2725">
          <cell r="A2725" t="str">
            <v/>
          </cell>
        </row>
        <row r="2726">
          <cell r="A2726" t="str">
            <v/>
          </cell>
        </row>
        <row r="2727">
          <cell r="A2727" t="str">
            <v/>
          </cell>
        </row>
        <row r="2728">
          <cell r="A2728" t="str">
            <v/>
          </cell>
        </row>
        <row r="2729">
          <cell r="A2729" t="str">
            <v/>
          </cell>
        </row>
        <row r="2730">
          <cell r="A2730" t="str">
            <v/>
          </cell>
        </row>
        <row r="2731">
          <cell r="A2731" t="str">
            <v/>
          </cell>
        </row>
        <row r="2732">
          <cell r="A2732" t="str">
            <v/>
          </cell>
        </row>
        <row r="2733">
          <cell r="A2733" t="str">
            <v/>
          </cell>
        </row>
        <row r="2734">
          <cell r="A2734" t="str">
            <v/>
          </cell>
        </row>
        <row r="2735">
          <cell r="A2735" t="str">
            <v/>
          </cell>
        </row>
        <row r="2736">
          <cell r="A2736" t="str">
            <v/>
          </cell>
        </row>
        <row r="2737">
          <cell r="A2737" t="str">
            <v/>
          </cell>
        </row>
        <row r="2738">
          <cell r="A2738" t="str">
            <v/>
          </cell>
        </row>
        <row r="2739">
          <cell r="A2739" t="str">
            <v/>
          </cell>
        </row>
        <row r="2740">
          <cell r="A2740" t="str">
            <v/>
          </cell>
        </row>
        <row r="2741">
          <cell r="A2741" t="str">
            <v/>
          </cell>
        </row>
        <row r="2742">
          <cell r="A2742" t="str">
            <v/>
          </cell>
        </row>
        <row r="2743">
          <cell r="A2743" t="str">
            <v/>
          </cell>
        </row>
        <row r="2744">
          <cell r="A2744" t="str">
            <v/>
          </cell>
        </row>
        <row r="2745">
          <cell r="A2745" t="str">
            <v/>
          </cell>
        </row>
        <row r="2746">
          <cell r="A2746" t="str">
            <v/>
          </cell>
        </row>
        <row r="2747">
          <cell r="A2747" t="str">
            <v/>
          </cell>
        </row>
        <row r="2748">
          <cell r="A2748" t="str">
            <v/>
          </cell>
        </row>
        <row r="2749">
          <cell r="A2749" t="str">
            <v/>
          </cell>
        </row>
        <row r="2750">
          <cell r="A2750" t="str">
            <v/>
          </cell>
        </row>
        <row r="2751">
          <cell r="A2751" t="str">
            <v/>
          </cell>
        </row>
        <row r="2752">
          <cell r="A2752" t="str">
            <v/>
          </cell>
        </row>
        <row r="2753">
          <cell r="A2753" t="str">
            <v/>
          </cell>
        </row>
        <row r="2754">
          <cell r="A2754" t="str">
            <v/>
          </cell>
        </row>
        <row r="2755">
          <cell r="A2755" t="str">
            <v/>
          </cell>
        </row>
        <row r="2756">
          <cell r="A2756" t="str">
            <v/>
          </cell>
        </row>
        <row r="2757">
          <cell r="A2757" t="str">
            <v/>
          </cell>
        </row>
        <row r="2758">
          <cell r="A2758" t="str">
            <v/>
          </cell>
        </row>
        <row r="2759">
          <cell r="A2759" t="str">
            <v/>
          </cell>
        </row>
        <row r="2760">
          <cell r="A2760" t="str">
            <v/>
          </cell>
        </row>
        <row r="2761">
          <cell r="A2761" t="str">
            <v/>
          </cell>
        </row>
        <row r="2762">
          <cell r="A2762" t="str">
            <v/>
          </cell>
        </row>
        <row r="2763">
          <cell r="A2763" t="str">
            <v/>
          </cell>
        </row>
        <row r="2764">
          <cell r="A2764" t="str">
            <v/>
          </cell>
        </row>
        <row r="2765">
          <cell r="A2765" t="str">
            <v/>
          </cell>
        </row>
        <row r="2766">
          <cell r="A2766" t="str">
            <v/>
          </cell>
        </row>
        <row r="2767">
          <cell r="A2767" t="str">
            <v/>
          </cell>
        </row>
        <row r="2768">
          <cell r="A2768" t="str">
            <v/>
          </cell>
        </row>
        <row r="2769">
          <cell r="A2769" t="str">
            <v/>
          </cell>
        </row>
        <row r="2770">
          <cell r="A2770" t="str">
            <v/>
          </cell>
        </row>
        <row r="2771">
          <cell r="A2771" t="str">
            <v/>
          </cell>
        </row>
        <row r="2772">
          <cell r="A2772" t="str">
            <v/>
          </cell>
        </row>
        <row r="2773">
          <cell r="A2773" t="str">
            <v/>
          </cell>
        </row>
        <row r="2774">
          <cell r="A2774" t="str">
            <v/>
          </cell>
        </row>
        <row r="2775">
          <cell r="A2775" t="str">
            <v/>
          </cell>
        </row>
        <row r="2776">
          <cell r="A2776" t="str">
            <v/>
          </cell>
        </row>
        <row r="2777">
          <cell r="A2777" t="str">
            <v/>
          </cell>
        </row>
        <row r="2778">
          <cell r="A2778" t="str">
            <v/>
          </cell>
        </row>
        <row r="2779">
          <cell r="A2779" t="str">
            <v/>
          </cell>
        </row>
        <row r="2780">
          <cell r="A2780" t="str">
            <v/>
          </cell>
        </row>
        <row r="2781">
          <cell r="A2781" t="str">
            <v/>
          </cell>
        </row>
        <row r="2782">
          <cell r="A2782" t="str">
            <v/>
          </cell>
        </row>
        <row r="2783">
          <cell r="A2783" t="str">
            <v/>
          </cell>
        </row>
        <row r="2784">
          <cell r="A2784" t="str">
            <v/>
          </cell>
        </row>
        <row r="2785">
          <cell r="A2785" t="str">
            <v/>
          </cell>
        </row>
        <row r="2786">
          <cell r="A2786" t="str">
            <v/>
          </cell>
        </row>
        <row r="2787">
          <cell r="A2787" t="str">
            <v/>
          </cell>
        </row>
        <row r="2788">
          <cell r="A2788" t="str">
            <v/>
          </cell>
        </row>
        <row r="2789">
          <cell r="A2789" t="str">
            <v/>
          </cell>
        </row>
        <row r="2790">
          <cell r="A2790" t="str">
            <v/>
          </cell>
        </row>
        <row r="2791">
          <cell r="A2791" t="str">
            <v/>
          </cell>
        </row>
        <row r="2792">
          <cell r="A2792" t="str">
            <v/>
          </cell>
        </row>
        <row r="2793">
          <cell r="A2793" t="str">
            <v/>
          </cell>
        </row>
        <row r="2794">
          <cell r="A2794" t="str">
            <v/>
          </cell>
        </row>
        <row r="2795">
          <cell r="A2795" t="str">
            <v/>
          </cell>
        </row>
        <row r="2796">
          <cell r="A2796" t="str">
            <v/>
          </cell>
        </row>
        <row r="2797">
          <cell r="A2797" t="str">
            <v/>
          </cell>
        </row>
        <row r="2798">
          <cell r="A2798" t="str">
            <v/>
          </cell>
        </row>
        <row r="2799">
          <cell r="A2799" t="str">
            <v/>
          </cell>
        </row>
        <row r="2800">
          <cell r="A2800" t="str">
            <v/>
          </cell>
        </row>
        <row r="2801">
          <cell r="A2801" t="str">
            <v/>
          </cell>
        </row>
        <row r="2802">
          <cell r="A2802" t="str">
            <v/>
          </cell>
        </row>
        <row r="2803">
          <cell r="A2803" t="str">
            <v/>
          </cell>
        </row>
        <row r="2804">
          <cell r="A2804" t="str">
            <v/>
          </cell>
        </row>
        <row r="2805">
          <cell r="A2805" t="str">
            <v/>
          </cell>
        </row>
        <row r="2806">
          <cell r="A2806" t="str">
            <v/>
          </cell>
        </row>
        <row r="2807">
          <cell r="A2807" t="str">
            <v/>
          </cell>
        </row>
        <row r="2808">
          <cell r="A2808" t="str">
            <v/>
          </cell>
        </row>
        <row r="2809">
          <cell r="A2809" t="str">
            <v/>
          </cell>
        </row>
        <row r="2810">
          <cell r="A2810" t="str">
            <v/>
          </cell>
        </row>
        <row r="2811">
          <cell r="A2811" t="str">
            <v/>
          </cell>
        </row>
        <row r="2812">
          <cell r="A2812" t="str">
            <v/>
          </cell>
        </row>
        <row r="2813">
          <cell r="A2813" t="str">
            <v/>
          </cell>
        </row>
        <row r="2814">
          <cell r="A2814" t="str">
            <v/>
          </cell>
        </row>
        <row r="2815">
          <cell r="A2815" t="str">
            <v/>
          </cell>
        </row>
        <row r="2816">
          <cell r="A2816" t="str">
            <v/>
          </cell>
        </row>
        <row r="2817">
          <cell r="A2817" t="str">
            <v/>
          </cell>
        </row>
        <row r="2818">
          <cell r="A2818" t="str">
            <v/>
          </cell>
        </row>
        <row r="2819">
          <cell r="A2819" t="str">
            <v/>
          </cell>
        </row>
        <row r="2820">
          <cell r="A2820" t="str">
            <v/>
          </cell>
        </row>
        <row r="2821">
          <cell r="A2821" t="str">
            <v/>
          </cell>
        </row>
        <row r="2822">
          <cell r="A2822" t="str">
            <v/>
          </cell>
        </row>
        <row r="2823">
          <cell r="A2823" t="str">
            <v/>
          </cell>
        </row>
        <row r="2824">
          <cell r="A2824" t="str">
            <v/>
          </cell>
        </row>
        <row r="2825">
          <cell r="A2825" t="str">
            <v/>
          </cell>
        </row>
        <row r="2826">
          <cell r="A2826" t="str">
            <v/>
          </cell>
        </row>
        <row r="2827">
          <cell r="A2827" t="str">
            <v/>
          </cell>
        </row>
        <row r="2828">
          <cell r="A2828" t="str">
            <v/>
          </cell>
        </row>
        <row r="2829">
          <cell r="A2829" t="str">
            <v/>
          </cell>
        </row>
        <row r="2830">
          <cell r="A2830" t="str">
            <v/>
          </cell>
        </row>
        <row r="2831">
          <cell r="A2831" t="str">
            <v/>
          </cell>
        </row>
        <row r="2832">
          <cell r="A2832" t="str">
            <v/>
          </cell>
        </row>
        <row r="2833">
          <cell r="A2833" t="str">
            <v/>
          </cell>
        </row>
        <row r="2834">
          <cell r="A2834" t="str">
            <v/>
          </cell>
        </row>
        <row r="2835">
          <cell r="A2835" t="str">
            <v/>
          </cell>
        </row>
        <row r="2836">
          <cell r="A2836" t="str">
            <v/>
          </cell>
        </row>
        <row r="2837">
          <cell r="A2837" t="str">
            <v/>
          </cell>
        </row>
        <row r="2838">
          <cell r="A2838" t="str">
            <v/>
          </cell>
        </row>
        <row r="2839">
          <cell r="A2839" t="str">
            <v/>
          </cell>
        </row>
        <row r="2840">
          <cell r="A2840" t="str">
            <v/>
          </cell>
        </row>
        <row r="2841">
          <cell r="A2841" t="str">
            <v/>
          </cell>
        </row>
        <row r="2842">
          <cell r="A2842" t="str">
            <v/>
          </cell>
        </row>
        <row r="2843">
          <cell r="A2843" t="str">
            <v/>
          </cell>
        </row>
        <row r="2844">
          <cell r="A2844" t="str">
            <v/>
          </cell>
        </row>
        <row r="2845">
          <cell r="A2845" t="str">
            <v/>
          </cell>
        </row>
        <row r="2846">
          <cell r="A2846" t="str">
            <v/>
          </cell>
        </row>
        <row r="2847">
          <cell r="A2847" t="str">
            <v/>
          </cell>
        </row>
        <row r="2848">
          <cell r="A2848" t="str">
            <v/>
          </cell>
        </row>
        <row r="2849">
          <cell r="A2849" t="str">
            <v/>
          </cell>
        </row>
        <row r="2850">
          <cell r="A2850" t="str">
            <v/>
          </cell>
        </row>
        <row r="2851">
          <cell r="A2851" t="str">
            <v/>
          </cell>
        </row>
        <row r="2852">
          <cell r="A2852" t="str">
            <v/>
          </cell>
        </row>
        <row r="2853">
          <cell r="A2853" t="str">
            <v/>
          </cell>
        </row>
        <row r="2854">
          <cell r="A2854" t="str">
            <v/>
          </cell>
        </row>
        <row r="2855">
          <cell r="A2855" t="str">
            <v/>
          </cell>
        </row>
        <row r="2856">
          <cell r="A2856" t="str">
            <v/>
          </cell>
        </row>
        <row r="2857">
          <cell r="A2857" t="str">
            <v/>
          </cell>
        </row>
        <row r="2858">
          <cell r="A2858" t="str">
            <v/>
          </cell>
        </row>
        <row r="2859">
          <cell r="A2859" t="str">
            <v/>
          </cell>
        </row>
        <row r="2860">
          <cell r="A2860" t="str">
            <v/>
          </cell>
        </row>
        <row r="2861">
          <cell r="A2861" t="str">
            <v/>
          </cell>
        </row>
        <row r="2862">
          <cell r="A2862" t="str">
            <v/>
          </cell>
        </row>
        <row r="2863">
          <cell r="A2863" t="str">
            <v/>
          </cell>
        </row>
        <row r="2864">
          <cell r="A2864" t="str">
            <v/>
          </cell>
        </row>
        <row r="2865">
          <cell r="A2865" t="str">
            <v/>
          </cell>
        </row>
        <row r="2866">
          <cell r="A2866" t="str">
            <v/>
          </cell>
        </row>
        <row r="2867">
          <cell r="A2867" t="str">
            <v/>
          </cell>
        </row>
        <row r="2868">
          <cell r="A2868" t="str">
            <v/>
          </cell>
        </row>
        <row r="2869">
          <cell r="A2869" t="str">
            <v/>
          </cell>
        </row>
        <row r="2870">
          <cell r="A2870" t="str">
            <v/>
          </cell>
        </row>
        <row r="2871">
          <cell r="A2871" t="str">
            <v/>
          </cell>
        </row>
        <row r="2872">
          <cell r="A2872" t="str">
            <v/>
          </cell>
        </row>
        <row r="2873">
          <cell r="A2873" t="str">
            <v/>
          </cell>
        </row>
        <row r="2874">
          <cell r="A2874" t="str">
            <v/>
          </cell>
        </row>
        <row r="2875">
          <cell r="A2875" t="str">
            <v/>
          </cell>
        </row>
        <row r="2876">
          <cell r="A2876" t="str">
            <v/>
          </cell>
        </row>
        <row r="2877">
          <cell r="A2877" t="str">
            <v/>
          </cell>
        </row>
        <row r="2878">
          <cell r="A2878" t="str">
            <v/>
          </cell>
        </row>
        <row r="2879">
          <cell r="A2879" t="str">
            <v/>
          </cell>
        </row>
        <row r="2880">
          <cell r="A2880" t="str">
            <v/>
          </cell>
        </row>
        <row r="2881">
          <cell r="A2881" t="str">
            <v/>
          </cell>
        </row>
        <row r="2882">
          <cell r="A2882" t="str">
            <v/>
          </cell>
        </row>
        <row r="2883">
          <cell r="A2883" t="str">
            <v/>
          </cell>
        </row>
        <row r="2884">
          <cell r="A2884" t="str">
            <v/>
          </cell>
        </row>
        <row r="2885">
          <cell r="A2885" t="str">
            <v/>
          </cell>
        </row>
        <row r="2886">
          <cell r="A2886" t="str">
            <v/>
          </cell>
        </row>
        <row r="2887">
          <cell r="A2887" t="str">
            <v/>
          </cell>
        </row>
        <row r="2888">
          <cell r="A2888" t="str">
            <v/>
          </cell>
        </row>
        <row r="2889">
          <cell r="A2889" t="str">
            <v/>
          </cell>
        </row>
        <row r="2890">
          <cell r="A2890" t="str">
            <v/>
          </cell>
        </row>
        <row r="2891">
          <cell r="A2891" t="str">
            <v/>
          </cell>
        </row>
        <row r="2892">
          <cell r="A2892" t="str">
            <v/>
          </cell>
        </row>
        <row r="2893">
          <cell r="A2893" t="str">
            <v/>
          </cell>
        </row>
        <row r="2894">
          <cell r="A2894" t="str">
            <v/>
          </cell>
        </row>
        <row r="2895">
          <cell r="A2895" t="str">
            <v/>
          </cell>
        </row>
        <row r="2896">
          <cell r="A2896" t="str">
            <v/>
          </cell>
        </row>
        <row r="2897">
          <cell r="A2897" t="str">
            <v/>
          </cell>
        </row>
        <row r="2898">
          <cell r="A2898" t="str">
            <v/>
          </cell>
        </row>
        <row r="2899">
          <cell r="A2899" t="str">
            <v/>
          </cell>
        </row>
        <row r="2900">
          <cell r="A2900" t="str">
            <v/>
          </cell>
        </row>
        <row r="2901">
          <cell r="A2901" t="str">
            <v/>
          </cell>
        </row>
        <row r="2902">
          <cell r="A2902" t="str">
            <v/>
          </cell>
        </row>
        <row r="2903">
          <cell r="A2903" t="str">
            <v/>
          </cell>
        </row>
        <row r="2904">
          <cell r="A2904" t="str">
            <v/>
          </cell>
        </row>
        <row r="2905">
          <cell r="A2905" t="str">
            <v/>
          </cell>
        </row>
        <row r="2906">
          <cell r="A2906" t="str">
            <v/>
          </cell>
        </row>
        <row r="2907">
          <cell r="A2907" t="str">
            <v/>
          </cell>
        </row>
        <row r="2908">
          <cell r="A2908" t="str">
            <v/>
          </cell>
        </row>
        <row r="2909">
          <cell r="A2909" t="str">
            <v/>
          </cell>
        </row>
        <row r="2910">
          <cell r="A2910" t="str">
            <v/>
          </cell>
        </row>
        <row r="2911">
          <cell r="A2911" t="str">
            <v/>
          </cell>
        </row>
        <row r="2912">
          <cell r="A2912" t="str">
            <v/>
          </cell>
        </row>
        <row r="2913">
          <cell r="A2913" t="str">
            <v/>
          </cell>
        </row>
        <row r="2914">
          <cell r="A2914" t="str">
            <v/>
          </cell>
        </row>
        <row r="2915">
          <cell r="A2915" t="str">
            <v/>
          </cell>
        </row>
        <row r="2916">
          <cell r="A2916" t="str">
            <v/>
          </cell>
        </row>
        <row r="2917">
          <cell r="A2917" t="str">
            <v/>
          </cell>
        </row>
        <row r="2918">
          <cell r="A2918" t="str">
            <v/>
          </cell>
        </row>
        <row r="2919">
          <cell r="A2919" t="str">
            <v/>
          </cell>
        </row>
        <row r="2920">
          <cell r="A2920" t="str">
            <v/>
          </cell>
        </row>
        <row r="2921">
          <cell r="A2921" t="str">
            <v/>
          </cell>
        </row>
        <row r="2922">
          <cell r="A2922" t="str">
            <v/>
          </cell>
        </row>
        <row r="2923">
          <cell r="A2923" t="str">
            <v/>
          </cell>
        </row>
        <row r="2924">
          <cell r="A2924" t="str">
            <v/>
          </cell>
        </row>
        <row r="2925">
          <cell r="A2925" t="str">
            <v/>
          </cell>
        </row>
        <row r="2926">
          <cell r="A2926" t="str">
            <v/>
          </cell>
        </row>
        <row r="2927">
          <cell r="A2927" t="str">
            <v/>
          </cell>
        </row>
        <row r="2928">
          <cell r="A2928" t="str">
            <v/>
          </cell>
        </row>
        <row r="2929">
          <cell r="A2929" t="str">
            <v/>
          </cell>
        </row>
        <row r="2930">
          <cell r="A2930" t="str">
            <v/>
          </cell>
        </row>
        <row r="2931">
          <cell r="A2931" t="str">
            <v/>
          </cell>
        </row>
        <row r="2932">
          <cell r="A2932" t="str">
            <v/>
          </cell>
        </row>
        <row r="2933">
          <cell r="A2933" t="str">
            <v/>
          </cell>
        </row>
        <row r="2934">
          <cell r="A2934" t="str">
            <v/>
          </cell>
        </row>
        <row r="2935">
          <cell r="A2935" t="str">
            <v/>
          </cell>
        </row>
        <row r="2936">
          <cell r="A2936" t="str">
            <v/>
          </cell>
        </row>
        <row r="2937">
          <cell r="A2937" t="str">
            <v/>
          </cell>
        </row>
        <row r="2938">
          <cell r="A2938" t="str">
            <v/>
          </cell>
        </row>
        <row r="2939">
          <cell r="A2939" t="str">
            <v/>
          </cell>
        </row>
        <row r="2940">
          <cell r="A2940" t="str">
            <v/>
          </cell>
        </row>
        <row r="2941">
          <cell r="A2941" t="str">
            <v/>
          </cell>
        </row>
        <row r="2942">
          <cell r="A2942" t="str">
            <v/>
          </cell>
        </row>
        <row r="2943">
          <cell r="A2943" t="str">
            <v/>
          </cell>
        </row>
        <row r="2944">
          <cell r="A2944" t="str">
            <v/>
          </cell>
        </row>
        <row r="2945">
          <cell r="A2945" t="str">
            <v/>
          </cell>
        </row>
        <row r="2946">
          <cell r="A2946" t="str">
            <v/>
          </cell>
        </row>
        <row r="2947">
          <cell r="A2947" t="str">
            <v/>
          </cell>
        </row>
        <row r="2948">
          <cell r="A2948" t="str">
            <v/>
          </cell>
        </row>
        <row r="2949">
          <cell r="A2949" t="str">
            <v/>
          </cell>
        </row>
        <row r="2950">
          <cell r="A2950" t="str">
            <v/>
          </cell>
        </row>
        <row r="2951">
          <cell r="A2951" t="str">
            <v/>
          </cell>
        </row>
        <row r="2952">
          <cell r="A2952" t="str">
            <v/>
          </cell>
        </row>
        <row r="2953">
          <cell r="A2953" t="str">
            <v/>
          </cell>
        </row>
        <row r="2954">
          <cell r="A2954" t="str">
            <v/>
          </cell>
        </row>
        <row r="2955">
          <cell r="A2955" t="str">
            <v/>
          </cell>
        </row>
        <row r="2956">
          <cell r="A2956" t="str">
            <v/>
          </cell>
        </row>
        <row r="2957">
          <cell r="A2957" t="str">
            <v/>
          </cell>
        </row>
        <row r="2958">
          <cell r="A2958" t="str">
            <v/>
          </cell>
        </row>
        <row r="2959">
          <cell r="A2959" t="str">
            <v/>
          </cell>
        </row>
        <row r="2960">
          <cell r="A2960" t="str">
            <v/>
          </cell>
        </row>
        <row r="2961">
          <cell r="A2961" t="str">
            <v/>
          </cell>
        </row>
        <row r="2962">
          <cell r="A2962" t="str">
            <v/>
          </cell>
        </row>
        <row r="2963">
          <cell r="A2963" t="str">
            <v/>
          </cell>
        </row>
        <row r="2964">
          <cell r="A2964" t="str">
            <v/>
          </cell>
        </row>
        <row r="2965">
          <cell r="A2965" t="str">
            <v/>
          </cell>
        </row>
        <row r="2966">
          <cell r="A2966" t="str">
            <v/>
          </cell>
        </row>
        <row r="2967">
          <cell r="A2967" t="str">
            <v/>
          </cell>
        </row>
        <row r="2968">
          <cell r="A2968" t="str">
            <v/>
          </cell>
        </row>
        <row r="2969">
          <cell r="A2969" t="str">
            <v/>
          </cell>
        </row>
        <row r="2970">
          <cell r="A2970" t="str">
            <v/>
          </cell>
        </row>
        <row r="2971">
          <cell r="A2971" t="str">
            <v/>
          </cell>
        </row>
        <row r="2972">
          <cell r="A2972" t="str">
            <v/>
          </cell>
        </row>
        <row r="2973">
          <cell r="A2973" t="str">
            <v/>
          </cell>
        </row>
        <row r="2974">
          <cell r="A2974" t="str">
            <v/>
          </cell>
        </row>
        <row r="2975">
          <cell r="A2975" t="str">
            <v/>
          </cell>
        </row>
        <row r="2976">
          <cell r="A2976" t="str">
            <v/>
          </cell>
        </row>
        <row r="2977">
          <cell r="A2977" t="str">
            <v/>
          </cell>
        </row>
        <row r="2978">
          <cell r="A2978" t="str">
            <v/>
          </cell>
        </row>
        <row r="2979">
          <cell r="A2979" t="str">
            <v/>
          </cell>
        </row>
        <row r="2980">
          <cell r="A2980" t="str">
            <v/>
          </cell>
        </row>
        <row r="2981">
          <cell r="A2981" t="str">
            <v/>
          </cell>
        </row>
        <row r="2982">
          <cell r="A2982" t="str">
            <v/>
          </cell>
        </row>
        <row r="2983">
          <cell r="A2983" t="str">
            <v/>
          </cell>
        </row>
        <row r="2984">
          <cell r="A2984" t="str">
            <v/>
          </cell>
        </row>
        <row r="2985">
          <cell r="A2985" t="str">
            <v/>
          </cell>
        </row>
        <row r="2986">
          <cell r="A2986" t="str">
            <v/>
          </cell>
        </row>
        <row r="2987">
          <cell r="A2987" t="str">
            <v/>
          </cell>
        </row>
        <row r="2988">
          <cell r="A2988" t="str">
            <v/>
          </cell>
        </row>
        <row r="2989">
          <cell r="A2989" t="str">
            <v/>
          </cell>
        </row>
        <row r="2990">
          <cell r="A2990" t="str">
            <v/>
          </cell>
        </row>
        <row r="2991">
          <cell r="A2991" t="str">
            <v/>
          </cell>
        </row>
        <row r="2992">
          <cell r="A2992" t="str">
            <v/>
          </cell>
        </row>
        <row r="2993">
          <cell r="A2993" t="str">
            <v/>
          </cell>
        </row>
        <row r="2994">
          <cell r="A2994" t="str">
            <v/>
          </cell>
        </row>
        <row r="2995">
          <cell r="A2995" t="str">
            <v/>
          </cell>
        </row>
        <row r="2996">
          <cell r="A2996" t="str">
            <v/>
          </cell>
        </row>
        <row r="2997">
          <cell r="A2997" t="str">
            <v/>
          </cell>
        </row>
        <row r="2998">
          <cell r="A2998" t="str">
            <v/>
          </cell>
        </row>
        <row r="2999">
          <cell r="A2999" t="str">
            <v/>
          </cell>
        </row>
        <row r="3000">
          <cell r="A3000" t="str">
            <v/>
          </cell>
        </row>
        <row r="3001">
          <cell r="A3001" t="str">
            <v/>
          </cell>
        </row>
        <row r="3002">
          <cell r="A3002" t="str">
            <v/>
          </cell>
        </row>
        <row r="3003">
          <cell r="A3003" t="str">
            <v/>
          </cell>
        </row>
        <row r="3004">
          <cell r="A3004" t="str">
            <v/>
          </cell>
        </row>
        <row r="3005">
          <cell r="A3005" t="str">
            <v/>
          </cell>
        </row>
        <row r="3006">
          <cell r="A3006" t="str">
            <v/>
          </cell>
        </row>
        <row r="3007">
          <cell r="A3007" t="str">
            <v/>
          </cell>
        </row>
        <row r="3008">
          <cell r="A3008" t="str">
            <v/>
          </cell>
        </row>
        <row r="3009">
          <cell r="A3009" t="str">
            <v/>
          </cell>
        </row>
        <row r="3010">
          <cell r="A3010" t="str">
            <v/>
          </cell>
        </row>
        <row r="3011">
          <cell r="A3011" t="str">
            <v/>
          </cell>
        </row>
        <row r="3012">
          <cell r="A3012" t="str">
            <v/>
          </cell>
        </row>
        <row r="3013">
          <cell r="A3013" t="str">
            <v/>
          </cell>
        </row>
        <row r="3014">
          <cell r="A3014" t="str">
            <v/>
          </cell>
        </row>
        <row r="3015">
          <cell r="A3015" t="str">
            <v/>
          </cell>
        </row>
        <row r="3016">
          <cell r="A3016" t="str">
            <v/>
          </cell>
        </row>
        <row r="3017">
          <cell r="A3017" t="str">
            <v/>
          </cell>
        </row>
        <row r="3018">
          <cell r="A3018" t="str">
            <v/>
          </cell>
        </row>
        <row r="3019">
          <cell r="A3019" t="str">
            <v/>
          </cell>
        </row>
        <row r="3020">
          <cell r="A3020" t="str">
            <v/>
          </cell>
        </row>
        <row r="3021">
          <cell r="A3021" t="str">
            <v/>
          </cell>
        </row>
        <row r="3022">
          <cell r="A3022" t="str">
            <v/>
          </cell>
        </row>
        <row r="3023">
          <cell r="A3023" t="str">
            <v/>
          </cell>
        </row>
        <row r="3024">
          <cell r="A3024" t="str">
            <v/>
          </cell>
        </row>
        <row r="3025">
          <cell r="A3025" t="str">
            <v/>
          </cell>
        </row>
        <row r="3026">
          <cell r="A3026" t="str">
            <v/>
          </cell>
        </row>
        <row r="3027">
          <cell r="A3027" t="str">
            <v/>
          </cell>
        </row>
        <row r="3028">
          <cell r="A3028" t="str">
            <v/>
          </cell>
        </row>
        <row r="3029">
          <cell r="A3029" t="str">
            <v/>
          </cell>
        </row>
        <row r="3030">
          <cell r="A3030" t="str">
            <v/>
          </cell>
        </row>
        <row r="3031">
          <cell r="A3031" t="str">
            <v/>
          </cell>
        </row>
        <row r="3032">
          <cell r="A3032" t="str">
            <v/>
          </cell>
        </row>
        <row r="3033">
          <cell r="A3033" t="str">
            <v/>
          </cell>
        </row>
        <row r="3034">
          <cell r="A3034" t="str">
            <v/>
          </cell>
        </row>
        <row r="3035">
          <cell r="A3035" t="str">
            <v/>
          </cell>
        </row>
        <row r="3036">
          <cell r="A3036" t="str">
            <v/>
          </cell>
        </row>
        <row r="3037">
          <cell r="A3037" t="str">
            <v/>
          </cell>
        </row>
        <row r="3038">
          <cell r="A3038" t="str">
            <v/>
          </cell>
        </row>
        <row r="3039">
          <cell r="A3039" t="str">
            <v/>
          </cell>
        </row>
        <row r="3040">
          <cell r="A3040" t="str">
            <v/>
          </cell>
        </row>
        <row r="3041">
          <cell r="A3041" t="str">
            <v/>
          </cell>
        </row>
        <row r="3042">
          <cell r="A3042" t="str">
            <v/>
          </cell>
        </row>
        <row r="3043">
          <cell r="A3043" t="str">
            <v/>
          </cell>
        </row>
        <row r="3044">
          <cell r="A3044" t="str">
            <v/>
          </cell>
        </row>
        <row r="3045">
          <cell r="A3045" t="str">
            <v/>
          </cell>
        </row>
        <row r="3046">
          <cell r="A3046" t="str">
            <v/>
          </cell>
        </row>
        <row r="3047">
          <cell r="A3047" t="str">
            <v/>
          </cell>
        </row>
        <row r="3048">
          <cell r="A3048" t="str">
            <v/>
          </cell>
        </row>
        <row r="3049">
          <cell r="A3049" t="str">
            <v/>
          </cell>
        </row>
        <row r="3050">
          <cell r="A3050" t="str">
            <v/>
          </cell>
        </row>
        <row r="3051">
          <cell r="A3051" t="str">
            <v/>
          </cell>
        </row>
        <row r="3052">
          <cell r="A3052" t="str">
            <v/>
          </cell>
        </row>
        <row r="3053">
          <cell r="A3053" t="str">
            <v/>
          </cell>
        </row>
        <row r="3054">
          <cell r="A3054" t="str">
            <v/>
          </cell>
        </row>
        <row r="3055">
          <cell r="A3055" t="str">
            <v/>
          </cell>
        </row>
        <row r="3056">
          <cell r="A3056" t="str">
            <v/>
          </cell>
        </row>
        <row r="3057">
          <cell r="A3057" t="str">
            <v/>
          </cell>
        </row>
        <row r="3058">
          <cell r="A3058" t="str">
            <v/>
          </cell>
        </row>
        <row r="3059">
          <cell r="A3059" t="str">
            <v/>
          </cell>
        </row>
        <row r="3060">
          <cell r="A3060" t="str">
            <v/>
          </cell>
        </row>
        <row r="3061">
          <cell r="A3061" t="str">
            <v/>
          </cell>
        </row>
        <row r="3062">
          <cell r="A3062" t="str">
            <v/>
          </cell>
        </row>
        <row r="3063">
          <cell r="A3063" t="str">
            <v/>
          </cell>
        </row>
        <row r="3064">
          <cell r="A3064" t="str">
            <v/>
          </cell>
        </row>
        <row r="3065">
          <cell r="A3065" t="str">
            <v/>
          </cell>
        </row>
        <row r="3066">
          <cell r="A3066" t="str">
            <v/>
          </cell>
        </row>
        <row r="3067">
          <cell r="A3067" t="str">
            <v/>
          </cell>
        </row>
        <row r="3068">
          <cell r="A3068" t="str">
            <v/>
          </cell>
        </row>
        <row r="3069">
          <cell r="A3069" t="str">
            <v/>
          </cell>
        </row>
        <row r="3070">
          <cell r="A3070" t="str">
            <v/>
          </cell>
        </row>
        <row r="3071">
          <cell r="A3071" t="str">
            <v/>
          </cell>
        </row>
        <row r="3072">
          <cell r="A3072" t="str">
            <v/>
          </cell>
        </row>
        <row r="3073">
          <cell r="A3073" t="str">
            <v/>
          </cell>
        </row>
        <row r="3074">
          <cell r="A3074" t="str">
            <v/>
          </cell>
        </row>
        <row r="3075">
          <cell r="A3075" t="str">
            <v/>
          </cell>
        </row>
        <row r="3076">
          <cell r="A3076" t="str">
            <v/>
          </cell>
        </row>
        <row r="3077">
          <cell r="A3077" t="str">
            <v/>
          </cell>
        </row>
        <row r="3078">
          <cell r="A3078" t="str">
            <v/>
          </cell>
        </row>
        <row r="3079">
          <cell r="A3079" t="str">
            <v/>
          </cell>
        </row>
        <row r="3080">
          <cell r="A3080" t="str">
            <v/>
          </cell>
        </row>
        <row r="3081">
          <cell r="A3081" t="str">
            <v/>
          </cell>
        </row>
        <row r="3082">
          <cell r="A3082" t="str">
            <v/>
          </cell>
        </row>
        <row r="3083">
          <cell r="A3083" t="str">
            <v/>
          </cell>
        </row>
        <row r="3084">
          <cell r="A3084" t="str">
            <v/>
          </cell>
        </row>
        <row r="3085">
          <cell r="A3085" t="str">
            <v/>
          </cell>
        </row>
        <row r="3086">
          <cell r="A3086" t="str">
            <v/>
          </cell>
        </row>
        <row r="3087">
          <cell r="A3087" t="str">
            <v/>
          </cell>
        </row>
        <row r="3088">
          <cell r="A3088" t="str">
            <v/>
          </cell>
        </row>
        <row r="3089">
          <cell r="A3089" t="str">
            <v/>
          </cell>
        </row>
        <row r="3090">
          <cell r="A3090" t="str">
            <v/>
          </cell>
        </row>
        <row r="3091">
          <cell r="A3091" t="str">
            <v/>
          </cell>
        </row>
        <row r="3092">
          <cell r="A3092" t="str">
            <v/>
          </cell>
        </row>
        <row r="3093">
          <cell r="A3093" t="str">
            <v/>
          </cell>
        </row>
        <row r="3094">
          <cell r="A3094" t="str">
            <v/>
          </cell>
        </row>
        <row r="3095">
          <cell r="A3095" t="str">
            <v/>
          </cell>
        </row>
        <row r="3096">
          <cell r="A3096" t="str">
            <v/>
          </cell>
        </row>
        <row r="3097">
          <cell r="A3097" t="str">
            <v/>
          </cell>
        </row>
        <row r="3098">
          <cell r="A3098" t="str">
            <v/>
          </cell>
        </row>
        <row r="3099">
          <cell r="A3099" t="str">
            <v/>
          </cell>
        </row>
        <row r="3100">
          <cell r="A3100" t="str">
            <v/>
          </cell>
        </row>
        <row r="3101">
          <cell r="A3101" t="str">
            <v/>
          </cell>
        </row>
        <row r="3102">
          <cell r="A3102" t="str">
            <v/>
          </cell>
        </row>
        <row r="3103">
          <cell r="A3103" t="str">
            <v/>
          </cell>
        </row>
        <row r="3104">
          <cell r="A3104" t="str">
            <v/>
          </cell>
        </row>
        <row r="3105">
          <cell r="A3105" t="str">
            <v/>
          </cell>
        </row>
        <row r="3106">
          <cell r="A3106" t="str">
            <v/>
          </cell>
        </row>
        <row r="3107">
          <cell r="A3107" t="str">
            <v/>
          </cell>
        </row>
        <row r="3108">
          <cell r="A3108" t="str">
            <v/>
          </cell>
        </row>
        <row r="3109">
          <cell r="A3109" t="str">
            <v/>
          </cell>
        </row>
        <row r="3110">
          <cell r="A3110" t="str">
            <v/>
          </cell>
        </row>
        <row r="3111">
          <cell r="A3111" t="str">
            <v/>
          </cell>
        </row>
        <row r="3112">
          <cell r="A3112" t="str">
            <v/>
          </cell>
        </row>
        <row r="3113">
          <cell r="A3113" t="str">
            <v/>
          </cell>
        </row>
        <row r="3114">
          <cell r="A3114" t="str">
            <v/>
          </cell>
        </row>
        <row r="3115">
          <cell r="A3115" t="str">
            <v/>
          </cell>
        </row>
        <row r="3116">
          <cell r="A3116" t="str">
            <v/>
          </cell>
        </row>
        <row r="3117">
          <cell r="A3117" t="str">
            <v/>
          </cell>
        </row>
        <row r="3118">
          <cell r="A3118" t="str">
            <v/>
          </cell>
        </row>
        <row r="3119">
          <cell r="A3119" t="str">
            <v/>
          </cell>
        </row>
        <row r="3120">
          <cell r="A3120" t="str">
            <v/>
          </cell>
        </row>
        <row r="3121">
          <cell r="A3121" t="str">
            <v/>
          </cell>
        </row>
        <row r="3122">
          <cell r="A3122" t="str">
            <v/>
          </cell>
        </row>
        <row r="3123">
          <cell r="A3123" t="str">
            <v/>
          </cell>
        </row>
        <row r="3124">
          <cell r="A3124" t="str">
            <v/>
          </cell>
        </row>
        <row r="3125">
          <cell r="A3125" t="str">
            <v/>
          </cell>
        </row>
        <row r="3126">
          <cell r="A3126" t="str">
            <v/>
          </cell>
        </row>
        <row r="3127">
          <cell r="A3127" t="str">
            <v/>
          </cell>
        </row>
        <row r="3128">
          <cell r="A3128" t="str">
            <v/>
          </cell>
        </row>
        <row r="3129">
          <cell r="A3129" t="str">
            <v/>
          </cell>
        </row>
        <row r="3130">
          <cell r="A3130" t="str">
            <v/>
          </cell>
        </row>
        <row r="3131">
          <cell r="A3131" t="str">
            <v/>
          </cell>
        </row>
        <row r="3132">
          <cell r="A3132" t="str">
            <v/>
          </cell>
        </row>
        <row r="3133">
          <cell r="A3133" t="str">
            <v/>
          </cell>
        </row>
        <row r="3134">
          <cell r="A3134" t="str">
            <v/>
          </cell>
        </row>
        <row r="3135">
          <cell r="A3135" t="str">
            <v/>
          </cell>
        </row>
        <row r="3136">
          <cell r="A3136" t="str">
            <v/>
          </cell>
        </row>
        <row r="3137">
          <cell r="A3137" t="str">
            <v/>
          </cell>
        </row>
        <row r="3138">
          <cell r="A3138" t="str">
            <v/>
          </cell>
        </row>
        <row r="3139">
          <cell r="A3139" t="str">
            <v/>
          </cell>
        </row>
        <row r="3140">
          <cell r="A3140" t="str">
            <v/>
          </cell>
        </row>
        <row r="3141">
          <cell r="A3141" t="str">
            <v/>
          </cell>
        </row>
        <row r="3142">
          <cell r="A3142" t="str">
            <v/>
          </cell>
        </row>
        <row r="3143">
          <cell r="A3143" t="str">
            <v/>
          </cell>
        </row>
        <row r="3144">
          <cell r="A3144" t="str">
            <v/>
          </cell>
        </row>
        <row r="3145">
          <cell r="A3145" t="str">
            <v/>
          </cell>
        </row>
        <row r="3146">
          <cell r="A3146" t="str">
            <v/>
          </cell>
        </row>
        <row r="3147">
          <cell r="A3147" t="str">
            <v/>
          </cell>
        </row>
        <row r="3148">
          <cell r="A3148" t="str">
            <v/>
          </cell>
        </row>
        <row r="3149">
          <cell r="A3149" t="str">
            <v/>
          </cell>
        </row>
        <row r="3150">
          <cell r="A3150" t="str">
            <v/>
          </cell>
        </row>
        <row r="3151">
          <cell r="A3151" t="str">
            <v/>
          </cell>
        </row>
        <row r="3152">
          <cell r="A3152" t="str">
            <v/>
          </cell>
        </row>
        <row r="3153">
          <cell r="A3153" t="str">
            <v/>
          </cell>
        </row>
        <row r="3154">
          <cell r="A3154" t="str">
            <v/>
          </cell>
        </row>
        <row r="3155">
          <cell r="A3155" t="str">
            <v/>
          </cell>
        </row>
        <row r="3156">
          <cell r="A3156" t="str">
            <v/>
          </cell>
        </row>
        <row r="3157">
          <cell r="A3157" t="str">
            <v/>
          </cell>
        </row>
        <row r="3158">
          <cell r="A3158" t="str">
            <v/>
          </cell>
        </row>
        <row r="3159">
          <cell r="A3159" t="str">
            <v/>
          </cell>
        </row>
        <row r="3160">
          <cell r="A3160" t="str">
            <v/>
          </cell>
        </row>
        <row r="3161">
          <cell r="A3161" t="str">
            <v/>
          </cell>
        </row>
        <row r="3162">
          <cell r="A3162" t="str">
            <v/>
          </cell>
        </row>
        <row r="3163">
          <cell r="A3163" t="str">
            <v/>
          </cell>
        </row>
        <row r="3164">
          <cell r="A3164" t="str">
            <v/>
          </cell>
        </row>
        <row r="3165">
          <cell r="A3165" t="str">
            <v/>
          </cell>
        </row>
        <row r="3166">
          <cell r="A3166" t="str">
            <v/>
          </cell>
        </row>
        <row r="3167">
          <cell r="A3167" t="str">
            <v/>
          </cell>
        </row>
        <row r="3168">
          <cell r="A3168" t="str">
            <v/>
          </cell>
        </row>
        <row r="3169">
          <cell r="A3169" t="str">
            <v/>
          </cell>
        </row>
        <row r="3170">
          <cell r="A3170" t="str">
            <v/>
          </cell>
        </row>
        <row r="3171">
          <cell r="A3171" t="str">
            <v/>
          </cell>
        </row>
        <row r="3172">
          <cell r="A3172" t="str">
            <v/>
          </cell>
        </row>
        <row r="3173">
          <cell r="A3173" t="str">
            <v/>
          </cell>
        </row>
        <row r="3174">
          <cell r="A3174" t="str">
            <v/>
          </cell>
        </row>
        <row r="3175">
          <cell r="A3175" t="str">
            <v/>
          </cell>
        </row>
        <row r="3176">
          <cell r="A3176" t="str">
            <v/>
          </cell>
        </row>
        <row r="3177">
          <cell r="A3177" t="str">
            <v/>
          </cell>
        </row>
        <row r="3178">
          <cell r="A3178" t="str">
            <v/>
          </cell>
        </row>
        <row r="3179">
          <cell r="A3179" t="str">
            <v/>
          </cell>
        </row>
        <row r="3180">
          <cell r="A3180" t="str">
            <v/>
          </cell>
        </row>
        <row r="3181">
          <cell r="A3181" t="str">
            <v/>
          </cell>
        </row>
        <row r="3182">
          <cell r="A3182" t="str">
            <v/>
          </cell>
        </row>
        <row r="3183">
          <cell r="A3183" t="str">
            <v/>
          </cell>
        </row>
        <row r="3184">
          <cell r="A3184" t="str">
            <v/>
          </cell>
        </row>
        <row r="3185">
          <cell r="A3185" t="str">
            <v/>
          </cell>
        </row>
        <row r="3186">
          <cell r="A3186" t="str">
            <v/>
          </cell>
        </row>
        <row r="3187">
          <cell r="A3187" t="str">
            <v/>
          </cell>
        </row>
        <row r="3188">
          <cell r="A3188" t="str">
            <v/>
          </cell>
        </row>
        <row r="3189">
          <cell r="A3189" t="str">
            <v/>
          </cell>
        </row>
        <row r="3190">
          <cell r="A3190" t="str">
            <v/>
          </cell>
        </row>
        <row r="3191">
          <cell r="A3191" t="str">
            <v/>
          </cell>
        </row>
        <row r="3192">
          <cell r="A3192" t="str">
            <v/>
          </cell>
        </row>
        <row r="3193">
          <cell r="A3193" t="str">
            <v/>
          </cell>
        </row>
        <row r="3194">
          <cell r="A3194" t="str">
            <v/>
          </cell>
        </row>
        <row r="3195">
          <cell r="A3195" t="str">
            <v/>
          </cell>
        </row>
        <row r="3196">
          <cell r="A3196" t="str">
            <v/>
          </cell>
        </row>
        <row r="3197">
          <cell r="A3197" t="str">
            <v/>
          </cell>
        </row>
        <row r="3198">
          <cell r="A3198" t="str">
            <v/>
          </cell>
        </row>
        <row r="3199">
          <cell r="A3199" t="str">
            <v/>
          </cell>
        </row>
        <row r="3200">
          <cell r="A3200" t="str">
            <v/>
          </cell>
        </row>
        <row r="3201">
          <cell r="A3201" t="str">
            <v/>
          </cell>
        </row>
        <row r="3202">
          <cell r="A3202" t="str">
            <v/>
          </cell>
        </row>
        <row r="3203">
          <cell r="A3203" t="str">
            <v/>
          </cell>
        </row>
        <row r="3204">
          <cell r="A3204" t="str">
            <v/>
          </cell>
        </row>
        <row r="3205">
          <cell r="A3205" t="str">
            <v/>
          </cell>
        </row>
        <row r="3206">
          <cell r="A3206" t="str">
            <v/>
          </cell>
        </row>
        <row r="3207">
          <cell r="A3207" t="str">
            <v/>
          </cell>
        </row>
        <row r="3208">
          <cell r="A3208" t="str">
            <v/>
          </cell>
        </row>
        <row r="3209">
          <cell r="A3209" t="str">
            <v/>
          </cell>
        </row>
        <row r="3210">
          <cell r="A3210" t="str">
            <v/>
          </cell>
        </row>
        <row r="3211">
          <cell r="A3211" t="str">
            <v/>
          </cell>
        </row>
        <row r="3212">
          <cell r="A3212" t="str">
            <v/>
          </cell>
        </row>
        <row r="3213">
          <cell r="A3213" t="str">
            <v/>
          </cell>
        </row>
        <row r="3214">
          <cell r="A3214" t="str">
            <v/>
          </cell>
        </row>
        <row r="3215">
          <cell r="A3215" t="str">
            <v/>
          </cell>
        </row>
        <row r="3216">
          <cell r="A3216" t="str">
            <v/>
          </cell>
        </row>
        <row r="3217">
          <cell r="A3217" t="str">
            <v/>
          </cell>
        </row>
        <row r="3218">
          <cell r="A3218" t="str">
            <v/>
          </cell>
        </row>
        <row r="3219">
          <cell r="A3219" t="str">
            <v/>
          </cell>
        </row>
        <row r="3220">
          <cell r="A3220" t="str">
            <v/>
          </cell>
        </row>
        <row r="3221">
          <cell r="A3221" t="str">
            <v/>
          </cell>
        </row>
        <row r="3222">
          <cell r="A3222" t="str">
            <v/>
          </cell>
        </row>
        <row r="3223">
          <cell r="A3223" t="str">
            <v/>
          </cell>
        </row>
        <row r="3224">
          <cell r="A3224" t="str">
            <v/>
          </cell>
        </row>
        <row r="3225">
          <cell r="A3225" t="str">
            <v/>
          </cell>
        </row>
        <row r="3226">
          <cell r="A3226" t="str">
            <v/>
          </cell>
        </row>
        <row r="3227">
          <cell r="A3227" t="str">
            <v/>
          </cell>
        </row>
        <row r="3228">
          <cell r="A3228" t="str">
            <v/>
          </cell>
        </row>
        <row r="3229">
          <cell r="A3229" t="str">
            <v/>
          </cell>
        </row>
        <row r="3230">
          <cell r="A3230" t="str">
            <v/>
          </cell>
        </row>
        <row r="3231">
          <cell r="A3231" t="str">
            <v/>
          </cell>
        </row>
        <row r="3232">
          <cell r="A3232" t="str">
            <v/>
          </cell>
        </row>
        <row r="3233">
          <cell r="A3233" t="str">
            <v/>
          </cell>
        </row>
        <row r="3234">
          <cell r="A3234" t="str">
            <v/>
          </cell>
        </row>
        <row r="3235">
          <cell r="A3235" t="str">
            <v/>
          </cell>
        </row>
        <row r="3236">
          <cell r="A3236" t="str">
            <v/>
          </cell>
        </row>
        <row r="3237">
          <cell r="A3237" t="str">
            <v/>
          </cell>
        </row>
        <row r="3238">
          <cell r="A3238" t="str">
            <v/>
          </cell>
        </row>
        <row r="3239">
          <cell r="A3239" t="str">
            <v/>
          </cell>
        </row>
        <row r="3240">
          <cell r="A3240" t="str">
            <v/>
          </cell>
        </row>
        <row r="3241">
          <cell r="A3241" t="str">
            <v/>
          </cell>
        </row>
        <row r="3242">
          <cell r="A3242" t="str">
            <v/>
          </cell>
        </row>
        <row r="3243">
          <cell r="A3243" t="str">
            <v/>
          </cell>
        </row>
        <row r="3244">
          <cell r="A3244" t="str">
            <v/>
          </cell>
        </row>
        <row r="3245">
          <cell r="A3245" t="str">
            <v/>
          </cell>
        </row>
        <row r="3246">
          <cell r="A3246" t="str">
            <v/>
          </cell>
        </row>
        <row r="3247">
          <cell r="A3247" t="str">
            <v/>
          </cell>
        </row>
        <row r="3248">
          <cell r="A3248" t="str">
            <v/>
          </cell>
        </row>
        <row r="3249">
          <cell r="A3249" t="str">
            <v/>
          </cell>
        </row>
        <row r="3250">
          <cell r="A3250" t="str">
            <v/>
          </cell>
        </row>
        <row r="3251">
          <cell r="A3251" t="str">
            <v/>
          </cell>
        </row>
        <row r="3252">
          <cell r="A3252" t="str">
            <v/>
          </cell>
        </row>
        <row r="3253">
          <cell r="A3253" t="str">
            <v/>
          </cell>
        </row>
        <row r="3254">
          <cell r="A3254" t="str">
            <v/>
          </cell>
        </row>
        <row r="3255">
          <cell r="A3255" t="str">
            <v/>
          </cell>
        </row>
        <row r="3256">
          <cell r="A3256" t="str">
            <v/>
          </cell>
        </row>
        <row r="3257">
          <cell r="A3257" t="str">
            <v/>
          </cell>
        </row>
        <row r="3258">
          <cell r="A3258" t="str">
            <v/>
          </cell>
        </row>
        <row r="3259">
          <cell r="A3259" t="str">
            <v/>
          </cell>
        </row>
        <row r="3260">
          <cell r="A3260" t="str">
            <v/>
          </cell>
        </row>
        <row r="3261">
          <cell r="A3261" t="str">
            <v/>
          </cell>
        </row>
        <row r="3262">
          <cell r="A3262" t="str">
            <v/>
          </cell>
        </row>
        <row r="3263">
          <cell r="A3263" t="str">
            <v/>
          </cell>
        </row>
        <row r="3264">
          <cell r="A3264" t="str">
            <v/>
          </cell>
        </row>
        <row r="3265">
          <cell r="A3265" t="str">
            <v/>
          </cell>
        </row>
        <row r="3266">
          <cell r="A3266" t="str">
            <v/>
          </cell>
        </row>
        <row r="3267">
          <cell r="A3267" t="str">
            <v/>
          </cell>
        </row>
        <row r="3268">
          <cell r="A3268" t="str">
            <v/>
          </cell>
        </row>
        <row r="3269">
          <cell r="A3269" t="str">
            <v/>
          </cell>
        </row>
        <row r="3270">
          <cell r="A3270" t="str">
            <v/>
          </cell>
        </row>
        <row r="3271">
          <cell r="A3271" t="str">
            <v/>
          </cell>
        </row>
        <row r="3272">
          <cell r="A3272" t="str">
            <v/>
          </cell>
        </row>
        <row r="3273">
          <cell r="A3273" t="str">
            <v/>
          </cell>
        </row>
        <row r="3274">
          <cell r="A3274" t="str">
            <v/>
          </cell>
        </row>
        <row r="3275">
          <cell r="A3275" t="str">
            <v/>
          </cell>
        </row>
        <row r="3276">
          <cell r="A3276" t="str">
            <v/>
          </cell>
        </row>
        <row r="3277">
          <cell r="A3277" t="str">
            <v/>
          </cell>
        </row>
        <row r="3278">
          <cell r="A3278" t="str">
            <v/>
          </cell>
        </row>
        <row r="3279">
          <cell r="A3279" t="str">
            <v/>
          </cell>
        </row>
        <row r="3280">
          <cell r="A3280" t="str">
            <v/>
          </cell>
        </row>
        <row r="3281">
          <cell r="A3281" t="str">
            <v/>
          </cell>
        </row>
        <row r="3282">
          <cell r="A3282" t="str">
            <v/>
          </cell>
        </row>
        <row r="3283">
          <cell r="A3283" t="str">
            <v/>
          </cell>
        </row>
        <row r="3284">
          <cell r="A3284" t="str">
            <v/>
          </cell>
        </row>
        <row r="3285">
          <cell r="A3285" t="str">
            <v/>
          </cell>
        </row>
        <row r="3286">
          <cell r="A3286" t="str">
            <v/>
          </cell>
        </row>
        <row r="3287">
          <cell r="A3287" t="str">
            <v/>
          </cell>
        </row>
        <row r="3288">
          <cell r="A3288" t="str">
            <v/>
          </cell>
        </row>
        <row r="3289">
          <cell r="A3289" t="str">
            <v/>
          </cell>
        </row>
        <row r="3290">
          <cell r="A3290" t="str">
            <v/>
          </cell>
        </row>
        <row r="3291">
          <cell r="A3291" t="str">
            <v/>
          </cell>
        </row>
        <row r="3292">
          <cell r="A3292" t="str">
            <v/>
          </cell>
        </row>
        <row r="3293">
          <cell r="A3293" t="str">
            <v/>
          </cell>
        </row>
        <row r="3294">
          <cell r="A3294" t="str">
            <v/>
          </cell>
        </row>
        <row r="3295">
          <cell r="A3295" t="str">
            <v/>
          </cell>
        </row>
        <row r="3296">
          <cell r="A3296" t="str">
            <v/>
          </cell>
        </row>
        <row r="3297">
          <cell r="A3297" t="str">
            <v/>
          </cell>
        </row>
        <row r="3298">
          <cell r="A3298" t="str">
            <v/>
          </cell>
        </row>
        <row r="3299">
          <cell r="A3299" t="str">
            <v/>
          </cell>
        </row>
        <row r="3300">
          <cell r="A3300" t="str">
            <v/>
          </cell>
        </row>
        <row r="3301">
          <cell r="A3301" t="str">
            <v/>
          </cell>
        </row>
        <row r="3302">
          <cell r="A3302" t="str">
            <v/>
          </cell>
        </row>
        <row r="3303">
          <cell r="A3303" t="str">
            <v/>
          </cell>
        </row>
        <row r="3304">
          <cell r="A3304" t="str">
            <v/>
          </cell>
        </row>
        <row r="3305">
          <cell r="A3305" t="str">
            <v/>
          </cell>
        </row>
        <row r="3306">
          <cell r="A3306" t="str">
            <v/>
          </cell>
        </row>
        <row r="3307">
          <cell r="A3307" t="str">
            <v/>
          </cell>
        </row>
        <row r="3308">
          <cell r="A3308" t="str">
            <v/>
          </cell>
        </row>
        <row r="3309">
          <cell r="A3309" t="str">
            <v/>
          </cell>
        </row>
        <row r="3310">
          <cell r="A3310" t="str">
            <v/>
          </cell>
        </row>
        <row r="3311">
          <cell r="A3311" t="str">
            <v/>
          </cell>
        </row>
        <row r="3312">
          <cell r="A3312" t="str">
            <v/>
          </cell>
        </row>
        <row r="3313">
          <cell r="A3313" t="str">
            <v/>
          </cell>
        </row>
        <row r="3314">
          <cell r="A3314" t="str">
            <v/>
          </cell>
        </row>
        <row r="3315">
          <cell r="A3315" t="str">
            <v/>
          </cell>
        </row>
        <row r="3316">
          <cell r="A3316" t="str">
            <v/>
          </cell>
        </row>
        <row r="3317">
          <cell r="A3317" t="str">
            <v/>
          </cell>
        </row>
        <row r="3318">
          <cell r="A3318" t="str">
            <v/>
          </cell>
        </row>
        <row r="3319">
          <cell r="A3319" t="str">
            <v/>
          </cell>
        </row>
        <row r="3320">
          <cell r="A3320" t="str">
            <v/>
          </cell>
        </row>
        <row r="3321">
          <cell r="A3321" t="str">
            <v/>
          </cell>
        </row>
        <row r="3322">
          <cell r="A3322" t="str">
            <v/>
          </cell>
        </row>
        <row r="3323">
          <cell r="A3323" t="str">
            <v/>
          </cell>
        </row>
        <row r="3324">
          <cell r="A3324" t="str">
            <v/>
          </cell>
        </row>
        <row r="3325">
          <cell r="A3325" t="str">
            <v/>
          </cell>
        </row>
        <row r="3326">
          <cell r="A3326" t="str">
            <v/>
          </cell>
        </row>
        <row r="3327">
          <cell r="A3327" t="str">
            <v/>
          </cell>
        </row>
        <row r="3328">
          <cell r="A3328" t="str">
            <v/>
          </cell>
        </row>
        <row r="3329">
          <cell r="A3329" t="str">
            <v/>
          </cell>
        </row>
        <row r="3330">
          <cell r="A3330" t="str">
            <v/>
          </cell>
        </row>
        <row r="3331">
          <cell r="A3331" t="str">
            <v/>
          </cell>
        </row>
        <row r="3332">
          <cell r="A3332" t="str">
            <v/>
          </cell>
        </row>
        <row r="3333">
          <cell r="A3333" t="str">
            <v/>
          </cell>
        </row>
        <row r="3334">
          <cell r="A3334" t="str">
            <v/>
          </cell>
        </row>
        <row r="3335">
          <cell r="A3335" t="str">
            <v/>
          </cell>
        </row>
        <row r="3336">
          <cell r="A3336" t="str">
            <v/>
          </cell>
        </row>
        <row r="3337">
          <cell r="A3337" t="str">
            <v/>
          </cell>
        </row>
        <row r="3338">
          <cell r="A3338" t="str">
            <v/>
          </cell>
        </row>
        <row r="3339">
          <cell r="A3339" t="str">
            <v/>
          </cell>
        </row>
        <row r="3340">
          <cell r="A3340" t="str">
            <v/>
          </cell>
        </row>
        <row r="3341">
          <cell r="A3341" t="str">
            <v/>
          </cell>
        </row>
        <row r="3342">
          <cell r="A3342" t="str">
            <v/>
          </cell>
        </row>
        <row r="3343">
          <cell r="A3343" t="str">
            <v/>
          </cell>
        </row>
        <row r="3344">
          <cell r="A3344" t="str">
            <v/>
          </cell>
        </row>
        <row r="3345">
          <cell r="A3345" t="str">
            <v/>
          </cell>
        </row>
        <row r="3346">
          <cell r="A3346" t="str">
            <v/>
          </cell>
        </row>
        <row r="3347">
          <cell r="A3347" t="str">
            <v/>
          </cell>
        </row>
        <row r="3348">
          <cell r="A3348" t="str">
            <v/>
          </cell>
        </row>
        <row r="3349">
          <cell r="A3349" t="str">
            <v/>
          </cell>
        </row>
        <row r="3350">
          <cell r="A3350" t="str">
            <v/>
          </cell>
        </row>
        <row r="3351">
          <cell r="A3351" t="str">
            <v/>
          </cell>
        </row>
        <row r="3352">
          <cell r="A3352" t="str">
            <v/>
          </cell>
        </row>
        <row r="3353">
          <cell r="A3353" t="str">
            <v/>
          </cell>
        </row>
        <row r="3354">
          <cell r="A3354" t="str">
            <v/>
          </cell>
        </row>
        <row r="3355">
          <cell r="A3355" t="str">
            <v/>
          </cell>
        </row>
        <row r="3356">
          <cell r="A3356" t="str">
            <v/>
          </cell>
        </row>
        <row r="3357">
          <cell r="A3357" t="str">
            <v/>
          </cell>
        </row>
        <row r="3358">
          <cell r="A3358" t="str">
            <v/>
          </cell>
        </row>
        <row r="3359">
          <cell r="A3359" t="str">
            <v/>
          </cell>
        </row>
        <row r="3360">
          <cell r="A3360" t="str">
            <v/>
          </cell>
        </row>
        <row r="3361">
          <cell r="A3361" t="str">
            <v/>
          </cell>
        </row>
        <row r="3362">
          <cell r="A3362" t="str">
            <v/>
          </cell>
        </row>
        <row r="3363">
          <cell r="A3363" t="str">
            <v/>
          </cell>
        </row>
        <row r="3364">
          <cell r="A3364" t="str">
            <v/>
          </cell>
        </row>
        <row r="3365">
          <cell r="A3365" t="str">
            <v/>
          </cell>
        </row>
        <row r="3366">
          <cell r="A3366" t="str">
            <v/>
          </cell>
        </row>
        <row r="3367">
          <cell r="A3367" t="str">
            <v/>
          </cell>
        </row>
        <row r="3368">
          <cell r="A3368" t="str">
            <v/>
          </cell>
        </row>
        <row r="3369">
          <cell r="A3369" t="str">
            <v/>
          </cell>
        </row>
        <row r="3370">
          <cell r="A3370" t="str">
            <v/>
          </cell>
        </row>
        <row r="3371">
          <cell r="A3371" t="str">
            <v/>
          </cell>
        </row>
        <row r="3372">
          <cell r="A3372" t="str">
            <v/>
          </cell>
        </row>
        <row r="3373">
          <cell r="A3373" t="str">
            <v/>
          </cell>
        </row>
        <row r="3374">
          <cell r="A3374" t="str">
            <v/>
          </cell>
        </row>
        <row r="3375">
          <cell r="A3375" t="str">
            <v/>
          </cell>
        </row>
        <row r="3376">
          <cell r="A3376" t="str">
            <v/>
          </cell>
        </row>
        <row r="3377">
          <cell r="A3377" t="str">
            <v/>
          </cell>
        </row>
        <row r="3378">
          <cell r="A3378" t="str">
            <v/>
          </cell>
        </row>
        <row r="3379">
          <cell r="A3379" t="str">
            <v/>
          </cell>
        </row>
        <row r="3380">
          <cell r="A3380" t="str">
            <v/>
          </cell>
        </row>
        <row r="3381">
          <cell r="A3381" t="str">
            <v/>
          </cell>
        </row>
        <row r="3382">
          <cell r="A3382" t="str">
            <v/>
          </cell>
        </row>
        <row r="3383">
          <cell r="A3383" t="str">
            <v/>
          </cell>
        </row>
        <row r="3384">
          <cell r="A3384" t="str">
            <v/>
          </cell>
        </row>
        <row r="3385">
          <cell r="A3385" t="str">
            <v/>
          </cell>
        </row>
        <row r="3386">
          <cell r="A3386" t="str">
            <v/>
          </cell>
        </row>
        <row r="3387">
          <cell r="A3387" t="str">
            <v/>
          </cell>
        </row>
        <row r="3388">
          <cell r="A3388" t="str">
            <v/>
          </cell>
        </row>
        <row r="3389">
          <cell r="A3389" t="str">
            <v/>
          </cell>
        </row>
        <row r="3390">
          <cell r="A3390" t="str">
            <v/>
          </cell>
        </row>
        <row r="3391">
          <cell r="A3391" t="str">
            <v/>
          </cell>
        </row>
        <row r="3392">
          <cell r="A3392" t="str">
            <v/>
          </cell>
        </row>
        <row r="3393">
          <cell r="A3393" t="str">
            <v/>
          </cell>
        </row>
        <row r="3394">
          <cell r="A3394" t="str">
            <v/>
          </cell>
        </row>
        <row r="3395">
          <cell r="A3395" t="str">
            <v/>
          </cell>
        </row>
        <row r="3396">
          <cell r="A3396" t="str">
            <v/>
          </cell>
        </row>
        <row r="3397">
          <cell r="A3397" t="str">
            <v/>
          </cell>
        </row>
        <row r="3398">
          <cell r="A3398" t="str">
            <v/>
          </cell>
        </row>
        <row r="3399">
          <cell r="A3399" t="str">
            <v/>
          </cell>
        </row>
        <row r="3400">
          <cell r="A3400" t="str">
            <v/>
          </cell>
        </row>
        <row r="3401">
          <cell r="A3401" t="str">
            <v/>
          </cell>
        </row>
        <row r="3402">
          <cell r="A3402" t="str">
            <v/>
          </cell>
        </row>
        <row r="3403">
          <cell r="A3403" t="str">
            <v/>
          </cell>
        </row>
        <row r="3404">
          <cell r="A3404" t="str">
            <v/>
          </cell>
        </row>
        <row r="3405">
          <cell r="A3405" t="str">
            <v/>
          </cell>
        </row>
        <row r="3406">
          <cell r="A3406" t="str">
            <v/>
          </cell>
        </row>
        <row r="3407">
          <cell r="A3407" t="str">
            <v/>
          </cell>
        </row>
        <row r="3408">
          <cell r="A3408" t="str">
            <v/>
          </cell>
        </row>
        <row r="3409">
          <cell r="A3409" t="str">
            <v/>
          </cell>
        </row>
        <row r="3410">
          <cell r="A3410" t="str">
            <v/>
          </cell>
        </row>
        <row r="3411">
          <cell r="A3411" t="str">
            <v/>
          </cell>
        </row>
        <row r="3412">
          <cell r="A3412" t="str">
            <v/>
          </cell>
        </row>
        <row r="3413">
          <cell r="A3413" t="str">
            <v/>
          </cell>
        </row>
        <row r="3414">
          <cell r="A3414" t="str">
            <v/>
          </cell>
        </row>
        <row r="3415">
          <cell r="A3415" t="str">
            <v/>
          </cell>
        </row>
        <row r="3416">
          <cell r="A3416" t="str">
            <v/>
          </cell>
        </row>
        <row r="3417">
          <cell r="A3417" t="str">
            <v/>
          </cell>
        </row>
        <row r="3418">
          <cell r="A3418" t="str">
            <v/>
          </cell>
        </row>
        <row r="3419">
          <cell r="A3419" t="str">
            <v/>
          </cell>
        </row>
        <row r="3420">
          <cell r="A3420" t="str">
            <v/>
          </cell>
        </row>
        <row r="3421">
          <cell r="A3421" t="str">
            <v/>
          </cell>
        </row>
        <row r="3422">
          <cell r="A3422" t="str">
            <v/>
          </cell>
        </row>
        <row r="3423">
          <cell r="A3423" t="str">
            <v/>
          </cell>
        </row>
        <row r="3424">
          <cell r="A3424" t="str">
            <v/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LST"/>
    </sheetNames>
    <sheetDataSet>
      <sheetData sheetId="0" refreshError="1">
        <row r="2">
          <cell r="A2" t="str">
            <v>Area</v>
          </cell>
          <cell r="B2" t="str">
            <v>Hotel</v>
          </cell>
          <cell r="C2" t="str">
            <v>Address</v>
          </cell>
          <cell r="D2" t="str">
            <v>Tel</v>
          </cell>
          <cell r="E2" t="str">
            <v>Fax</v>
          </cell>
        </row>
        <row r="3">
          <cell r="A3" t="str">
            <v>tbn</v>
          </cell>
          <cell r="B3" t="str">
            <v>TBN</v>
          </cell>
          <cell r="C3" t="str">
            <v>-</v>
          </cell>
          <cell r="D3" t="str">
            <v>-</v>
          </cell>
          <cell r="E3" t="str">
            <v>-</v>
          </cell>
        </row>
        <row r="4">
          <cell r="A4" t="str">
            <v>MONZA</v>
          </cell>
          <cell r="B4" t="str">
            <v>Hotel Borgo Lecco</v>
          </cell>
          <cell r="C4" t="str">
            <v>Via Matteotti 2,20043 Arcore</v>
          </cell>
          <cell r="D4" t="str">
            <v>39(39)6014041</v>
          </cell>
          <cell r="E4" t="str">
            <v>39(39)6014763</v>
          </cell>
        </row>
        <row r="5">
          <cell r="A5" t="str">
            <v>EST1</v>
          </cell>
          <cell r="B5" t="str">
            <v>Hotel Tivoli</v>
          </cell>
          <cell r="C5" t="str">
            <v>Av da liberdade 185,1250 Lisbon</v>
          </cell>
          <cell r="D5" t="str">
            <v>351(1)353 0181</v>
          </cell>
          <cell r="E5" t="str">
            <v>351(1)357 9461</v>
          </cell>
        </row>
        <row r="6">
          <cell r="A6" t="str">
            <v>EST2</v>
          </cell>
          <cell r="B6" t="str">
            <v>Hotel Nau</v>
          </cell>
          <cell r="C6" t="str">
            <v/>
          </cell>
          <cell r="D6" t="str">
            <v>351(1)483 7319</v>
          </cell>
          <cell r="E6" t="str">
            <v>351(1)483 2866</v>
          </cell>
        </row>
        <row r="7">
          <cell r="A7" t="str">
            <v>EST2</v>
          </cell>
          <cell r="B7" t="str">
            <v>Atlantic Gardens Hotel</v>
          </cell>
          <cell r="C7" t="str">
            <v>Estrada do Guincho Guia 2750 Cascais</v>
          </cell>
          <cell r="D7" t="str">
            <v>351-1483-3737</v>
          </cell>
          <cell r="E7" t="str">
            <v>351-1483-5226</v>
          </cell>
        </row>
        <row r="8">
          <cell r="A8" t="str">
            <v>IMOLA</v>
          </cell>
          <cell r="B8" t="str">
            <v>Hotel Olimpia</v>
          </cell>
          <cell r="C8" t="str">
            <v>Via Pisacane 69 40026 Imola</v>
          </cell>
          <cell r="D8" t="str">
            <v>39-542-28460</v>
          </cell>
          <cell r="E8" t="str">
            <v>39-542-26500</v>
          </cell>
        </row>
        <row r="9">
          <cell r="A9" t="str">
            <v>MLN</v>
          </cell>
          <cell r="B9" t="str">
            <v>Air Hotel</v>
          </cell>
          <cell r="C9" t="str">
            <v>20090 Novegro di Segrate</v>
          </cell>
          <cell r="D9" t="str">
            <v>39(02)7560256</v>
          </cell>
          <cell r="E9" t="str">
            <v>39(02)7561294</v>
          </cell>
        </row>
        <row r="10">
          <cell r="A10" t="str">
            <v>JRZ</v>
          </cell>
          <cell r="B10" t="str">
            <v>Hotel Montecastillo</v>
          </cell>
          <cell r="D10" t="str">
            <v>34(56)151200</v>
          </cell>
          <cell r="E10" t="str">
            <v>34(56)151215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Output"/>
      <sheetName val="Programme_TEST"/>
    </sheetNames>
    <sheetDataSet>
      <sheetData sheetId="0">
        <row r="1">
          <cell r="A1" t="str">
            <v>Aeromap</v>
          </cell>
          <cell r="B1" t="str">
            <v>VJM7_DS01_v11 - R07_Canada</v>
          </cell>
        </row>
        <row r="2">
          <cell r="A2" t="str">
            <v>Nose Assy</v>
          </cell>
          <cell r="B2" t="str">
            <v>VJM7 Nose074 (Cameras +81z)</v>
          </cell>
        </row>
        <row r="3">
          <cell r="A3" t="str">
            <v>Front Wing</v>
          </cell>
          <cell r="B3" t="str">
            <v>VJM7 FW060</v>
          </cell>
        </row>
        <row r="4">
          <cell r="A4" t="str">
            <v>Front Wing -&gt; Front Wing Mainplane</v>
          </cell>
          <cell r="B4" t="str">
            <v>VJM7 FW060</v>
          </cell>
        </row>
        <row r="5">
          <cell r="A5" t="str">
            <v>Front Wing -&gt; Front Flap</v>
          </cell>
          <cell r="B5" t="str">
            <v>VJM7 FWF019</v>
          </cell>
        </row>
        <row r="6">
          <cell r="A6" t="str">
            <v>Front Wing -&gt; Gurney Flap</v>
          </cell>
          <cell r="B6" t="str">
            <v>6mm x 50% (OB)</v>
          </cell>
        </row>
        <row r="7">
          <cell r="A7" t="str">
            <v>Front Wing -&gt; Flap Angle (°)</v>
          </cell>
          <cell r="B7">
            <v>10.5</v>
          </cell>
        </row>
        <row r="8">
          <cell r="A8" t="str">
            <v>Front Brake Duct Assy</v>
          </cell>
          <cell r="B8" t="str">
            <v>VJM7 R07_Canada - Fwd Disc Feed (ACR107)</v>
          </cell>
        </row>
        <row r="9">
          <cell r="A9" t="str">
            <v>Front Brake Duct Assy -&gt; Scoop</v>
          </cell>
          <cell r="B9">
            <v>1</v>
          </cell>
        </row>
        <row r="10">
          <cell r="A10" t="str">
            <v>Front Brake Duct Assy -&gt; Scoop Blanking</v>
          </cell>
          <cell r="B10" t="str">
            <v>00mm</v>
          </cell>
        </row>
        <row r="11">
          <cell r="A11" t="str">
            <v>Front Brake Duct Assy -&gt; Scoop Blanking -&gt; Left</v>
          </cell>
          <cell r="B11" t="str">
            <v>00mm</v>
          </cell>
        </row>
        <row r="12">
          <cell r="A12" t="str">
            <v>Front Brake Duct Assy -&gt; Scoop Blanking -&gt; Right</v>
          </cell>
          <cell r="B12" t="str">
            <v>00mm</v>
          </cell>
        </row>
        <row r="13">
          <cell r="A13" t="str">
            <v>Front Brake Duct Assy -&gt; Elements</v>
          </cell>
          <cell r="B13" t="str">
            <v>None</v>
          </cell>
        </row>
        <row r="14">
          <cell r="A14" t="str">
            <v>Front Brake Duct Assy -&gt; Caliper Heatshield</v>
          </cell>
          <cell r="B14" t="str">
            <v>VJM7 ACR106 &amp; 108 - Stage 2 Trim + Barrel Windows</v>
          </cell>
        </row>
        <row r="15">
          <cell r="A15" t="str">
            <v>Front Brake Duct Assy -&gt; Disc Bell</v>
          </cell>
          <cell r="B15" t="str">
            <v>VJM7 ACR104 (95% restricted)</v>
          </cell>
        </row>
        <row r="16">
          <cell r="A16" t="str">
            <v>Front Brake Duct Assy -&gt; Hand OB Inlet Blanking</v>
          </cell>
          <cell r="B16">
            <v>0</v>
          </cell>
        </row>
        <row r="17">
          <cell r="A17" t="str">
            <v>Front Brake Duct Assy -&gt; Hand OB Inlet Blanking -&gt; Left</v>
          </cell>
          <cell r="B17">
            <v>0</v>
          </cell>
        </row>
        <row r="18">
          <cell r="A18" t="str">
            <v>Front Brake Duct Assy -&gt; Hand OB Inlet Blanking -&gt; Right</v>
          </cell>
          <cell r="B18">
            <v>0</v>
          </cell>
        </row>
        <row r="19">
          <cell r="A19" t="str">
            <v>Front Brake Duct Assy -&gt; Rim Heating Level</v>
          </cell>
          <cell r="B19" t="str">
            <v>Left: VJM7 Level 2 - Full Seal, Full Barrel (ACR047) / Right: VJM7 Level 4 - Full Seal, Trimmed Barrel (ACR046)</v>
          </cell>
        </row>
        <row r="20">
          <cell r="A20" t="str">
            <v>Front Brake Duct Assy -&gt; Rim Heating Level -&gt; Left</v>
          </cell>
          <cell r="B20" t="str">
            <v>VJM7 Level 2 - Full Seal, Full Barrel (ACR047)</v>
          </cell>
        </row>
        <row r="21">
          <cell r="A21" t="str">
            <v>Front Brake Duct Assy -&gt; Rim Heating Level -&gt; Right</v>
          </cell>
          <cell r="B21" t="str">
            <v>VJM7 Level 4 - Full Seal, Trimmed Barrel (ACR046)</v>
          </cell>
        </row>
        <row r="22">
          <cell r="A22" t="str">
            <v>Forward Barge Board</v>
          </cell>
          <cell r="B22" t="str">
            <v>VJM7 FBB083</v>
          </cell>
        </row>
        <row r="23">
          <cell r="A23" t="str">
            <v>Bodywork</v>
          </cell>
          <cell r="B23" t="str">
            <v>VJM7 T15 Update</v>
          </cell>
        </row>
        <row r="24">
          <cell r="A24" t="str">
            <v>Bodywork -&gt; Sidepods</v>
          </cell>
          <cell r="B24" t="str">
            <v>VJM7 Sidepod008 (Launch)</v>
          </cell>
        </row>
        <row r="25">
          <cell r="A25" t="str">
            <v>Bodywork -&gt; Exhaust Tailpipe</v>
          </cell>
          <cell r="B25" t="str">
            <v>VJM7 Exhaust056 (Launch)</v>
          </cell>
        </row>
        <row r="26">
          <cell r="A26" t="str">
            <v>Bodywork -&gt; Sidepod Vanes</v>
          </cell>
          <cell r="B26" t="str">
            <v>VJM7 Sidepod Visor 075</v>
          </cell>
        </row>
        <row r="27">
          <cell r="A27" t="str">
            <v>Bodywork -&gt; Swing</v>
          </cell>
          <cell r="B27" t="str">
            <v>VJM7 Swing087</v>
          </cell>
        </row>
        <row r="28">
          <cell r="A28" t="str">
            <v>Exhaust Gas Effect</v>
          </cell>
          <cell r="B28" t="str">
            <v>VJM7 Launch</v>
          </cell>
        </row>
        <row r="29">
          <cell r="A29" t="str">
            <v>Cooling</v>
          </cell>
          <cell r="B29" t="str">
            <v>VJM7 Race01</v>
          </cell>
        </row>
        <row r="30">
          <cell r="A30" t="str">
            <v>Cooling -&gt; Tulip</v>
          </cell>
          <cell r="B30" t="str">
            <v>VJM7 L Tulip (028)</v>
          </cell>
        </row>
        <row r="31">
          <cell r="A31" t="str">
            <v>Cooling -&gt; Headrest</v>
          </cell>
          <cell r="B31" t="str">
            <v>Left: Closed / Right: VJM7 Medium Headrest Exit (030)</v>
          </cell>
        </row>
        <row r="32">
          <cell r="A32" t="str">
            <v>Cooling -&gt; Headrest -&gt; Left</v>
          </cell>
          <cell r="B32" t="str">
            <v>Closed</v>
          </cell>
        </row>
        <row r="33">
          <cell r="A33" t="str">
            <v>Cooling -&gt; Headrest -&gt; Right</v>
          </cell>
          <cell r="B33" t="str">
            <v>VJM7 Medium Headrest Exit (030)</v>
          </cell>
        </row>
        <row r="34">
          <cell r="A34" t="str">
            <v>Cooling -&gt; Oil Rad Blanking</v>
          </cell>
          <cell r="B34">
            <v>0</v>
          </cell>
        </row>
        <row r="35">
          <cell r="A35" t="str">
            <v>Cooling -&gt; Water Rad Blanking</v>
          </cell>
          <cell r="B35">
            <v>0</v>
          </cell>
        </row>
        <row r="36">
          <cell r="A36" t="str">
            <v>Cooling -&gt; Bodywork Taping</v>
          </cell>
          <cell r="B36" t="str">
            <v>Full</v>
          </cell>
        </row>
        <row r="37">
          <cell r="A37" t="str">
            <v>Cooling -&gt; CAC Cooler Type</v>
          </cell>
          <cell r="B37" t="str">
            <v>75mm Core</v>
          </cell>
        </row>
        <row r="38">
          <cell r="A38" t="str">
            <v>Cooling -&gt; ERS/Gearbox Blanking</v>
          </cell>
          <cell r="B38">
            <v>0.27</v>
          </cell>
        </row>
        <row r="39">
          <cell r="A39" t="str">
            <v>Cooling -&gt; Gearbox Bypass</v>
          </cell>
          <cell r="B39" t="str">
            <v>Red P1.5 = 45° valve (18% bypass)</v>
          </cell>
        </row>
        <row r="40">
          <cell r="A40" t="str">
            <v>Cooling -&gt; SquirtJet Blanking</v>
          </cell>
          <cell r="B40">
            <v>0.8</v>
          </cell>
        </row>
        <row r="41">
          <cell r="A41" t="str">
            <v>Floor</v>
          </cell>
          <cell r="B41" t="str">
            <v>VJM7 R05 Spain</v>
          </cell>
        </row>
        <row r="42">
          <cell r="A42" t="str">
            <v>Floor -&gt; Chin</v>
          </cell>
          <cell r="B42" t="str">
            <v>VJM7 Chin085 - T15 Update</v>
          </cell>
        </row>
        <row r="43">
          <cell r="A43" t="str">
            <v>Floor -&gt; Main Floor</v>
          </cell>
          <cell r="B43" t="str">
            <v>VJM7 R06 Monaco - Diff094 R2 (Z21)/LOLE088/RBB086</v>
          </cell>
        </row>
        <row r="44">
          <cell r="A44" t="str">
            <v>Floor -&gt; IB Foot Trim</v>
          </cell>
          <cell r="B44" t="str">
            <v>VJM7 ACR095 - R05 Spain</v>
          </cell>
        </row>
        <row r="45">
          <cell r="A45" t="str">
            <v>Floor -&gt; OB Foot Trim</v>
          </cell>
          <cell r="B45" t="str">
            <v>VJM7 ACR095 R3 - R05 Spain - Min Clearance</v>
          </cell>
        </row>
        <row r="46">
          <cell r="A46" t="str">
            <v>Floor -&gt; Tyre Vane</v>
          </cell>
          <cell r="B46" t="str">
            <v>VJM7 ACR095 - R05 Spain</v>
          </cell>
        </row>
        <row r="47">
          <cell r="A47" t="str">
            <v>Rear Brake Duct Assy</v>
          </cell>
          <cell r="B47" t="str">
            <v>VJM7 RBD034 (Race05)</v>
          </cell>
        </row>
        <row r="48">
          <cell r="A48" t="str">
            <v>Rear Brake Duct Assy -&gt; Scoop Blanking</v>
          </cell>
          <cell r="B48" t="str">
            <v>Step 2: Lower 2/5</v>
          </cell>
        </row>
        <row r="49">
          <cell r="A49" t="str">
            <v>Rear Brake Duct Assy -&gt; Scoop Blanking -&gt; Left</v>
          </cell>
          <cell r="B49" t="str">
            <v>Step 2: Lower 2/5</v>
          </cell>
        </row>
        <row r="50">
          <cell r="A50" t="str">
            <v>Rear Brake Duct Assy -&gt; Scoop Blanking -&gt; Right</v>
          </cell>
          <cell r="B50" t="str">
            <v>Step 2: Lower 2/5</v>
          </cell>
        </row>
        <row r="51">
          <cell r="A51" t="str">
            <v>Rear Brake Duct Assy -&gt; Upper Elements</v>
          </cell>
          <cell r="B51" t="str">
            <v>VJM7 ACR034 (Launch)</v>
          </cell>
        </row>
        <row r="52">
          <cell r="A52" t="str">
            <v>Rear Brake Duct Assy -&gt; Lower Elements</v>
          </cell>
          <cell r="B52" t="str">
            <v>VJM7 ACR034 (Launch)</v>
          </cell>
        </row>
        <row r="53">
          <cell r="A53" t="str">
            <v>Rear Brake Duct Assy -&gt; Rim Heating Level</v>
          </cell>
          <cell r="B53" t="str">
            <v>VJM7 Level 20: Base Barrel</v>
          </cell>
        </row>
        <row r="54">
          <cell r="A54" t="str">
            <v>Rear Brake Duct Assy -&gt; Rim Heating Level -&gt; Left</v>
          </cell>
          <cell r="B54" t="str">
            <v>VJM7 Level 20: Base Barrel</v>
          </cell>
        </row>
        <row r="55">
          <cell r="A55" t="str">
            <v>Rear Brake Duct Assy -&gt; Rim Heating Level -&gt; Right</v>
          </cell>
          <cell r="B55" t="str">
            <v>VJM7 Level 20: Base Barrel</v>
          </cell>
        </row>
        <row r="56">
          <cell r="A56" t="str">
            <v>Rear Wing</v>
          </cell>
          <cell r="B56" t="str">
            <v>VJM7 R650 - RW077 @ P5, No GF</v>
          </cell>
        </row>
        <row r="57">
          <cell r="A57" t="str">
            <v>Rear Wing -&gt; DRS</v>
          </cell>
          <cell r="B57" t="str">
            <v>Undeployed</v>
          </cell>
        </row>
        <row r="58">
          <cell r="A58" t="str">
            <v>Rear Mid Wing</v>
          </cell>
          <cell r="B58" t="str">
            <v>VJM7 MidWing079</v>
          </cell>
        </row>
        <row r="59">
          <cell r="A59" t="str">
            <v>Rear Wing Endplate</v>
          </cell>
          <cell r="B59" t="str">
            <v>VJM7 RWEP093: with RW077</v>
          </cell>
        </row>
        <row r="60">
          <cell r="A60" t="str">
            <v>Wheel Type</v>
          </cell>
          <cell r="B60" t="str">
            <v>VJM7 Launch (ACR036 Front, ACR052 Rear)</v>
          </cell>
        </row>
        <row r="61">
          <cell r="A61" t="str">
            <v>Misc</v>
          </cell>
          <cell r="B61" t="str">
            <v>VJM7 Launch</v>
          </cell>
        </row>
        <row r="62">
          <cell r="A62" t="str">
            <v>Misc -&gt; Aero Rakes</v>
          </cell>
          <cell r="B62" t="str">
            <v>VJM7 Launch</v>
          </cell>
        </row>
        <row r="63">
          <cell r="A63" t="str">
            <v>Misc -&gt; Aero Rakes -&gt; Diffuser Rake</v>
          </cell>
          <cell r="B63" t="str">
            <v>Off</v>
          </cell>
        </row>
        <row r="64">
          <cell r="A64" t="str">
            <v>Misc -&gt; Aero Rakes -&gt; Front Wheel Wake Rake</v>
          </cell>
          <cell r="B64" t="str">
            <v>Off</v>
          </cell>
        </row>
        <row r="65">
          <cell r="A65" t="str">
            <v>Misc -&gt; Aero Rakes -&gt; LOLE Rake</v>
          </cell>
          <cell r="B65" t="str">
            <v>Off</v>
          </cell>
        </row>
        <row r="66">
          <cell r="A66" t="str">
            <v>Misc -&gt; Aero Rakes -&gt; Sidepod Rake</v>
          </cell>
          <cell r="B66" t="str">
            <v>Off</v>
          </cell>
        </row>
        <row r="67">
          <cell r="A67" t="str">
            <v>FARB</v>
          </cell>
          <cell r="B67" t="str">
            <v>F</v>
          </cell>
        </row>
        <row r="68">
          <cell r="A68" t="str">
            <v>RARB</v>
          </cell>
          <cell r="B68" t="str">
            <v>G</v>
          </cell>
        </row>
        <row r="69">
          <cell r="A69" t="str">
            <v>FTSB</v>
          </cell>
          <cell r="B69" t="str">
            <v>H</v>
          </cell>
        </row>
        <row r="70">
          <cell r="A70" t="str">
            <v>RTSB</v>
          </cell>
          <cell r="B70" t="str">
            <v>H</v>
          </cell>
        </row>
        <row r="71">
          <cell r="A71" t="str">
            <v>FRH</v>
          </cell>
          <cell r="B71">
            <v>24</v>
          </cell>
        </row>
        <row r="72">
          <cell r="A72" t="str">
            <v>RRH</v>
          </cell>
          <cell r="B72">
            <v>71</v>
          </cell>
        </row>
        <row r="73">
          <cell r="A73" t="str">
            <v>FGeometry</v>
          </cell>
          <cell r="B73" t="str">
            <v>-8mm POU A-52 Wide Track</v>
          </cell>
        </row>
        <row r="74">
          <cell r="A74" t="str">
            <v>RGeometry</v>
          </cell>
          <cell r="B74" t="str">
            <v>1.7 Camber Gain</v>
          </cell>
        </row>
        <row r="75">
          <cell r="A75" t="str">
            <v>FCBG</v>
          </cell>
          <cell r="B75">
            <v>7</v>
          </cell>
        </row>
        <row r="76">
          <cell r="A76" t="str">
            <v>RCBG</v>
          </cell>
          <cell r="B76">
            <v>43</v>
          </cell>
        </row>
        <row r="77">
          <cell r="A77" t="str">
            <v>CamberFL</v>
          </cell>
          <cell r="B77">
            <v>-4</v>
          </cell>
        </row>
        <row r="78">
          <cell r="A78" t="str">
            <v>CamberFR</v>
          </cell>
          <cell r="B78">
            <v>-4</v>
          </cell>
        </row>
        <row r="79">
          <cell r="A79" t="str">
            <v>CamberRL</v>
          </cell>
          <cell r="B79">
            <v>-0.6</v>
          </cell>
        </row>
        <row r="80">
          <cell r="A80" t="str">
            <v>CamberRR</v>
          </cell>
          <cell r="B80">
            <v>-0.6</v>
          </cell>
        </row>
        <row r="81">
          <cell r="A81" t="str">
            <v>ToeFL</v>
          </cell>
          <cell r="B81">
            <v>3</v>
          </cell>
        </row>
        <row r="82">
          <cell r="A82" t="str">
            <v>ToeFR</v>
          </cell>
          <cell r="B82">
            <v>2</v>
          </cell>
        </row>
        <row r="83">
          <cell r="A83" t="str">
            <v>ToeRL</v>
          </cell>
          <cell r="B83">
            <v>-1</v>
          </cell>
        </row>
        <row r="84">
          <cell r="A84" t="str">
            <v>ToeRR</v>
          </cell>
          <cell r="B84">
            <v>0</v>
          </cell>
        </row>
        <row r="85">
          <cell r="A85" t="str">
            <v>TrackFL</v>
          </cell>
          <cell r="B85">
            <v>3.5</v>
          </cell>
        </row>
        <row r="86">
          <cell r="A86" t="str">
            <v>TrackFR</v>
          </cell>
          <cell r="B86">
            <v>3.5</v>
          </cell>
        </row>
        <row r="87">
          <cell r="A87" t="str">
            <v>TrackRL</v>
          </cell>
          <cell r="B87">
            <v>4.5</v>
          </cell>
        </row>
        <row r="88">
          <cell r="A88" t="str">
            <v>TrackRR</v>
          </cell>
          <cell r="B88">
            <v>4.5</v>
          </cell>
        </row>
        <row r="89">
          <cell r="A89" t="str">
            <v>Gear1</v>
          </cell>
          <cell r="B89" t="str">
            <v>13/42</v>
          </cell>
        </row>
        <row r="90">
          <cell r="A90" t="str">
            <v>Gear2</v>
          </cell>
          <cell r="B90" t="str">
            <v>13/35</v>
          </cell>
        </row>
        <row r="91">
          <cell r="A91" t="str">
            <v>Gear3</v>
          </cell>
          <cell r="B91" t="str">
            <v>15/33</v>
          </cell>
        </row>
        <row r="92">
          <cell r="A92" t="str">
            <v>Gear4</v>
          </cell>
          <cell r="B92" t="str">
            <v>17/31</v>
          </cell>
        </row>
        <row r="93">
          <cell r="A93" t="str">
            <v>Gear5</v>
          </cell>
          <cell r="B93" t="str">
            <v>19/28</v>
          </cell>
        </row>
        <row r="94">
          <cell r="A94" t="str">
            <v>Gear6</v>
          </cell>
          <cell r="B94" t="str">
            <v>19/23</v>
          </cell>
        </row>
        <row r="95">
          <cell r="A95" t="str">
            <v>Gear7</v>
          </cell>
          <cell r="B95" t="str">
            <v>25/26</v>
          </cell>
        </row>
        <row r="96">
          <cell r="A96" t="str">
            <v>Gear8</v>
          </cell>
          <cell r="B96" t="str">
            <v>27/25</v>
          </cell>
        </row>
        <row r="97">
          <cell r="A97" t="str">
            <v>NGearbox</v>
          </cell>
          <cell r="B97">
            <v>19</v>
          </cell>
        </row>
        <row r="98">
          <cell r="A98" t="str">
            <v>NEngine</v>
          </cell>
          <cell r="B98" t="str">
            <v>VGD053-01</v>
          </cell>
        </row>
        <row r="99">
          <cell r="A99" t="str">
            <v>FSDP</v>
          </cell>
          <cell r="B99" t="str">
            <v>F5-4A</v>
          </cell>
        </row>
        <row r="100">
          <cell r="A100" t="str">
            <v>FIDP</v>
          </cell>
          <cell r="B100" t="str">
            <v>120 kgmm² V12</v>
          </cell>
        </row>
        <row r="101">
          <cell r="A101" t="str">
            <v>RSDP</v>
          </cell>
          <cell r="B101" t="str">
            <v>R2-2A</v>
          </cell>
        </row>
        <row r="102">
          <cell r="A102" t="str">
            <v>RCDP</v>
          </cell>
          <cell r="B102" t="str">
            <v>RCA2</v>
          </cell>
        </row>
        <row r="103">
          <cell r="A103" t="str">
            <v>RCDPB</v>
          </cell>
          <cell r="B103">
            <v>4</v>
          </cell>
        </row>
        <row r="104">
          <cell r="A104" t="str">
            <v>RCDPR</v>
          </cell>
          <cell r="B104">
            <v>5</v>
          </cell>
        </row>
        <row r="105">
          <cell r="A105" t="str">
            <v>Circuit</v>
          </cell>
          <cell r="B105" t="str">
            <v>Monaco</v>
          </cell>
        </row>
        <row r="106">
          <cell r="A106" t="str">
            <v>Chassis</v>
          </cell>
          <cell r="B106" t="str">
            <v>VJM07-04</v>
          </cell>
        </row>
        <row r="107">
          <cell r="A107" t="str">
            <v>BrakeBalance</v>
          </cell>
          <cell r="B107">
            <v>0.53</v>
          </cell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m2"/>
      <sheetName val="表紙"/>
      <sheetName val="2p"/>
      <sheetName val="Colloidal1"/>
      <sheetName val="Gum1"/>
      <sheetName val="Colloidal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ログイン"/>
    </sheetNames>
    <definedNames>
      <definedName name="ログイン_Cancel_btn"/>
      <definedName name="ログイン_Ok_btn"/>
    </defined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検索処理"/>
    </sheetNames>
    <definedNames>
      <definedName name="工場別全サイズ"/>
      <definedName name="工場別全サイズ_Dialog_Cancel"/>
      <definedName name="工場別全サイズ_Dialog_Ok"/>
    </defined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作成"/>
    </sheetNames>
    <definedNames>
      <definedName name="推定" refersTo="#REF!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DE07-D4B2-4F62-BB6F-2EBBF0F0FBD8}">
  <sheetPr codeName="Sheet9">
    <pageSetUpPr fitToPage="1"/>
  </sheetPr>
  <dimension ref="A1:BI87"/>
  <sheetViews>
    <sheetView showGridLines="0" topLeftCell="A48" zoomScaleNormal="100" zoomScaleSheetLayoutView="85" workbookViewId="0">
      <selection activeCell="S70" sqref="S70:V70"/>
    </sheetView>
  </sheetViews>
  <sheetFormatPr defaultRowHeight="12.75" x14ac:dyDescent="0.2"/>
  <cols>
    <col min="1" max="2" width="2.7109375" style="1" customWidth="1"/>
    <col min="3" max="3" width="5.7109375" style="1" customWidth="1"/>
    <col min="4" max="5" width="6.28515625" style="1" customWidth="1"/>
    <col min="6" max="6" width="8.7109375" style="1" customWidth="1"/>
    <col min="7" max="8" width="4.7109375" style="1" customWidth="1"/>
    <col min="9" max="9" width="8.7109375" style="1" customWidth="1"/>
    <col min="10" max="11" width="6.28515625" style="1" customWidth="1"/>
    <col min="12" max="12" width="7.85546875" style="1" customWidth="1"/>
    <col min="13" max="13" width="8.42578125" style="1" customWidth="1"/>
    <col min="14" max="14" width="6.7109375" style="1" customWidth="1"/>
    <col min="15" max="22" width="3.7109375" style="1" customWidth="1"/>
    <col min="23" max="23" width="6.28515625" style="1" customWidth="1"/>
    <col min="24" max="24" width="6" style="1" customWidth="1"/>
    <col min="25" max="27" width="6.28515625" style="1" customWidth="1"/>
    <col min="28" max="28" width="8.7109375" style="1" customWidth="1"/>
    <col min="29" max="30" width="4.7109375" style="1" customWidth="1"/>
    <col min="31" max="31" width="8.7109375" style="1" customWidth="1"/>
    <col min="32" max="32" width="6.28515625" style="1" customWidth="1"/>
    <col min="33" max="34" width="5.7109375" style="1" customWidth="1"/>
    <col min="35" max="36" width="2.7109375" style="1" customWidth="1"/>
    <col min="37" max="258" width="9.140625" style="1"/>
    <col min="259" max="260" width="2.7109375" style="1" customWidth="1"/>
    <col min="261" max="261" width="5.7109375" style="1" customWidth="1"/>
    <col min="262" max="269" width="6.28515625" style="1" customWidth="1"/>
    <col min="270" max="270" width="5" style="1" customWidth="1"/>
    <col min="271" max="271" width="6.7109375" style="1" customWidth="1"/>
    <col min="272" max="274" width="3.7109375" style="1" customWidth="1"/>
    <col min="275" max="275" width="7" style="1" customWidth="1"/>
    <col min="276" max="276" width="5.5703125" style="1" customWidth="1"/>
    <col min="277" max="277" width="6.85546875" style="1" customWidth="1"/>
    <col min="278" max="279" width="3.7109375" style="1" customWidth="1"/>
    <col min="280" max="280" width="6.28515625" style="1" customWidth="1"/>
    <col min="281" max="281" width="6" style="1" customWidth="1"/>
    <col min="282" max="288" width="6.28515625" style="1" customWidth="1"/>
    <col min="289" max="290" width="5.7109375" style="1" customWidth="1"/>
    <col min="291" max="292" width="2.7109375" style="1" customWidth="1"/>
    <col min="293" max="514" width="9.140625" style="1"/>
    <col min="515" max="516" width="2.7109375" style="1" customWidth="1"/>
    <col min="517" max="517" width="5.7109375" style="1" customWidth="1"/>
    <col min="518" max="525" width="6.28515625" style="1" customWidth="1"/>
    <col min="526" max="526" width="5" style="1" customWidth="1"/>
    <col min="527" max="527" width="6.7109375" style="1" customWidth="1"/>
    <col min="528" max="530" width="3.7109375" style="1" customWidth="1"/>
    <col min="531" max="531" width="7" style="1" customWidth="1"/>
    <col min="532" max="532" width="5.5703125" style="1" customWidth="1"/>
    <col min="533" max="533" width="6.85546875" style="1" customWidth="1"/>
    <col min="534" max="535" width="3.7109375" style="1" customWidth="1"/>
    <col min="536" max="536" width="6.28515625" style="1" customWidth="1"/>
    <col min="537" max="537" width="6" style="1" customWidth="1"/>
    <col min="538" max="544" width="6.28515625" style="1" customWidth="1"/>
    <col min="545" max="546" width="5.7109375" style="1" customWidth="1"/>
    <col min="547" max="548" width="2.7109375" style="1" customWidth="1"/>
    <col min="549" max="770" width="9.140625" style="1"/>
    <col min="771" max="772" width="2.7109375" style="1" customWidth="1"/>
    <col min="773" max="773" width="5.7109375" style="1" customWidth="1"/>
    <col min="774" max="781" width="6.28515625" style="1" customWidth="1"/>
    <col min="782" max="782" width="5" style="1" customWidth="1"/>
    <col min="783" max="783" width="6.7109375" style="1" customWidth="1"/>
    <col min="784" max="786" width="3.7109375" style="1" customWidth="1"/>
    <col min="787" max="787" width="7" style="1" customWidth="1"/>
    <col min="788" max="788" width="5.5703125" style="1" customWidth="1"/>
    <col min="789" max="789" width="6.85546875" style="1" customWidth="1"/>
    <col min="790" max="791" width="3.7109375" style="1" customWidth="1"/>
    <col min="792" max="792" width="6.28515625" style="1" customWidth="1"/>
    <col min="793" max="793" width="6" style="1" customWidth="1"/>
    <col min="794" max="800" width="6.28515625" style="1" customWidth="1"/>
    <col min="801" max="802" width="5.7109375" style="1" customWidth="1"/>
    <col min="803" max="804" width="2.7109375" style="1" customWidth="1"/>
    <col min="805" max="1026" width="9.140625" style="1"/>
    <col min="1027" max="1028" width="2.7109375" style="1" customWidth="1"/>
    <col min="1029" max="1029" width="5.7109375" style="1" customWidth="1"/>
    <col min="1030" max="1037" width="6.28515625" style="1" customWidth="1"/>
    <col min="1038" max="1038" width="5" style="1" customWidth="1"/>
    <col min="1039" max="1039" width="6.7109375" style="1" customWidth="1"/>
    <col min="1040" max="1042" width="3.7109375" style="1" customWidth="1"/>
    <col min="1043" max="1043" width="7" style="1" customWidth="1"/>
    <col min="1044" max="1044" width="5.5703125" style="1" customWidth="1"/>
    <col min="1045" max="1045" width="6.85546875" style="1" customWidth="1"/>
    <col min="1046" max="1047" width="3.7109375" style="1" customWidth="1"/>
    <col min="1048" max="1048" width="6.28515625" style="1" customWidth="1"/>
    <col min="1049" max="1049" width="6" style="1" customWidth="1"/>
    <col min="1050" max="1056" width="6.28515625" style="1" customWidth="1"/>
    <col min="1057" max="1058" width="5.7109375" style="1" customWidth="1"/>
    <col min="1059" max="1060" width="2.7109375" style="1" customWidth="1"/>
    <col min="1061" max="1282" width="9.140625" style="1"/>
    <col min="1283" max="1284" width="2.7109375" style="1" customWidth="1"/>
    <col min="1285" max="1285" width="5.7109375" style="1" customWidth="1"/>
    <col min="1286" max="1293" width="6.28515625" style="1" customWidth="1"/>
    <col min="1294" max="1294" width="5" style="1" customWidth="1"/>
    <col min="1295" max="1295" width="6.7109375" style="1" customWidth="1"/>
    <col min="1296" max="1298" width="3.7109375" style="1" customWidth="1"/>
    <col min="1299" max="1299" width="7" style="1" customWidth="1"/>
    <col min="1300" max="1300" width="5.5703125" style="1" customWidth="1"/>
    <col min="1301" max="1301" width="6.85546875" style="1" customWidth="1"/>
    <col min="1302" max="1303" width="3.7109375" style="1" customWidth="1"/>
    <col min="1304" max="1304" width="6.28515625" style="1" customWidth="1"/>
    <col min="1305" max="1305" width="6" style="1" customWidth="1"/>
    <col min="1306" max="1312" width="6.28515625" style="1" customWidth="1"/>
    <col min="1313" max="1314" width="5.7109375" style="1" customWidth="1"/>
    <col min="1315" max="1316" width="2.7109375" style="1" customWidth="1"/>
    <col min="1317" max="1538" width="9.140625" style="1"/>
    <col min="1539" max="1540" width="2.7109375" style="1" customWidth="1"/>
    <col min="1541" max="1541" width="5.7109375" style="1" customWidth="1"/>
    <col min="1542" max="1549" width="6.28515625" style="1" customWidth="1"/>
    <col min="1550" max="1550" width="5" style="1" customWidth="1"/>
    <col min="1551" max="1551" width="6.7109375" style="1" customWidth="1"/>
    <col min="1552" max="1554" width="3.7109375" style="1" customWidth="1"/>
    <col min="1555" max="1555" width="7" style="1" customWidth="1"/>
    <col min="1556" max="1556" width="5.5703125" style="1" customWidth="1"/>
    <col min="1557" max="1557" width="6.85546875" style="1" customWidth="1"/>
    <col min="1558" max="1559" width="3.7109375" style="1" customWidth="1"/>
    <col min="1560" max="1560" width="6.28515625" style="1" customWidth="1"/>
    <col min="1561" max="1561" width="6" style="1" customWidth="1"/>
    <col min="1562" max="1568" width="6.28515625" style="1" customWidth="1"/>
    <col min="1569" max="1570" width="5.7109375" style="1" customWidth="1"/>
    <col min="1571" max="1572" width="2.7109375" style="1" customWidth="1"/>
    <col min="1573" max="1794" width="9.140625" style="1"/>
    <col min="1795" max="1796" width="2.7109375" style="1" customWidth="1"/>
    <col min="1797" max="1797" width="5.7109375" style="1" customWidth="1"/>
    <col min="1798" max="1805" width="6.28515625" style="1" customWidth="1"/>
    <col min="1806" max="1806" width="5" style="1" customWidth="1"/>
    <col min="1807" max="1807" width="6.7109375" style="1" customWidth="1"/>
    <col min="1808" max="1810" width="3.7109375" style="1" customWidth="1"/>
    <col min="1811" max="1811" width="7" style="1" customWidth="1"/>
    <col min="1812" max="1812" width="5.5703125" style="1" customWidth="1"/>
    <col min="1813" max="1813" width="6.85546875" style="1" customWidth="1"/>
    <col min="1814" max="1815" width="3.7109375" style="1" customWidth="1"/>
    <col min="1816" max="1816" width="6.28515625" style="1" customWidth="1"/>
    <col min="1817" max="1817" width="6" style="1" customWidth="1"/>
    <col min="1818" max="1824" width="6.28515625" style="1" customWidth="1"/>
    <col min="1825" max="1826" width="5.7109375" style="1" customWidth="1"/>
    <col min="1827" max="1828" width="2.7109375" style="1" customWidth="1"/>
    <col min="1829" max="2050" width="9.140625" style="1"/>
    <col min="2051" max="2052" width="2.7109375" style="1" customWidth="1"/>
    <col min="2053" max="2053" width="5.7109375" style="1" customWidth="1"/>
    <col min="2054" max="2061" width="6.28515625" style="1" customWidth="1"/>
    <col min="2062" max="2062" width="5" style="1" customWidth="1"/>
    <col min="2063" max="2063" width="6.7109375" style="1" customWidth="1"/>
    <col min="2064" max="2066" width="3.7109375" style="1" customWidth="1"/>
    <col min="2067" max="2067" width="7" style="1" customWidth="1"/>
    <col min="2068" max="2068" width="5.5703125" style="1" customWidth="1"/>
    <col min="2069" max="2069" width="6.85546875" style="1" customWidth="1"/>
    <col min="2070" max="2071" width="3.7109375" style="1" customWidth="1"/>
    <col min="2072" max="2072" width="6.28515625" style="1" customWidth="1"/>
    <col min="2073" max="2073" width="6" style="1" customWidth="1"/>
    <col min="2074" max="2080" width="6.28515625" style="1" customWidth="1"/>
    <col min="2081" max="2082" width="5.7109375" style="1" customWidth="1"/>
    <col min="2083" max="2084" width="2.7109375" style="1" customWidth="1"/>
    <col min="2085" max="2306" width="9.140625" style="1"/>
    <col min="2307" max="2308" width="2.7109375" style="1" customWidth="1"/>
    <col min="2309" max="2309" width="5.7109375" style="1" customWidth="1"/>
    <col min="2310" max="2317" width="6.28515625" style="1" customWidth="1"/>
    <col min="2318" max="2318" width="5" style="1" customWidth="1"/>
    <col min="2319" max="2319" width="6.7109375" style="1" customWidth="1"/>
    <col min="2320" max="2322" width="3.7109375" style="1" customWidth="1"/>
    <col min="2323" max="2323" width="7" style="1" customWidth="1"/>
    <col min="2324" max="2324" width="5.5703125" style="1" customWidth="1"/>
    <col min="2325" max="2325" width="6.85546875" style="1" customWidth="1"/>
    <col min="2326" max="2327" width="3.7109375" style="1" customWidth="1"/>
    <col min="2328" max="2328" width="6.28515625" style="1" customWidth="1"/>
    <col min="2329" max="2329" width="6" style="1" customWidth="1"/>
    <col min="2330" max="2336" width="6.28515625" style="1" customWidth="1"/>
    <col min="2337" max="2338" width="5.7109375" style="1" customWidth="1"/>
    <col min="2339" max="2340" width="2.7109375" style="1" customWidth="1"/>
    <col min="2341" max="2562" width="9.140625" style="1"/>
    <col min="2563" max="2564" width="2.7109375" style="1" customWidth="1"/>
    <col min="2565" max="2565" width="5.7109375" style="1" customWidth="1"/>
    <col min="2566" max="2573" width="6.28515625" style="1" customWidth="1"/>
    <col min="2574" max="2574" width="5" style="1" customWidth="1"/>
    <col min="2575" max="2575" width="6.7109375" style="1" customWidth="1"/>
    <col min="2576" max="2578" width="3.7109375" style="1" customWidth="1"/>
    <col min="2579" max="2579" width="7" style="1" customWidth="1"/>
    <col min="2580" max="2580" width="5.5703125" style="1" customWidth="1"/>
    <col min="2581" max="2581" width="6.85546875" style="1" customWidth="1"/>
    <col min="2582" max="2583" width="3.7109375" style="1" customWidth="1"/>
    <col min="2584" max="2584" width="6.28515625" style="1" customWidth="1"/>
    <col min="2585" max="2585" width="6" style="1" customWidth="1"/>
    <col min="2586" max="2592" width="6.28515625" style="1" customWidth="1"/>
    <col min="2593" max="2594" width="5.7109375" style="1" customWidth="1"/>
    <col min="2595" max="2596" width="2.7109375" style="1" customWidth="1"/>
    <col min="2597" max="2818" width="9.140625" style="1"/>
    <col min="2819" max="2820" width="2.7109375" style="1" customWidth="1"/>
    <col min="2821" max="2821" width="5.7109375" style="1" customWidth="1"/>
    <col min="2822" max="2829" width="6.28515625" style="1" customWidth="1"/>
    <col min="2830" max="2830" width="5" style="1" customWidth="1"/>
    <col min="2831" max="2831" width="6.7109375" style="1" customWidth="1"/>
    <col min="2832" max="2834" width="3.7109375" style="1" customWidth="1"/>
    <col min="2835" max="2835" width="7" style="1" customWidth="1"/>
    <col min="2836" max="2836" width="5.5703125" style="1" customWidth="1"/>
    <col min="2837" max="2837" width="6.85546875" style="1" customWidth="1"/>
    <col min="2838" max="2839" width="3.7109375" style="1" customWidth="1"/>
    <col min="2840" max="2840" width="6.28515625" style="1" customWidth="1"/>
    <col min="2841" max="2841" width="6" style="1" customWidth="1"/>
    <col min="2842" max="2848" width="6.28515625" style="1" customWidth="1"/>
    <col min="2849" max="2850" width="5.7109375" style="1" customWidth="1"/>
    <col min="2851" max="2852" width="2.7109375" style="1" customWidth="1"/>
    <col min="2853" max="3074" width="9.140625" style="1"/>
    <col min="3075" max="3076" width="2.7109375" style="1" customWidth="1"/>
    <col min="3077" max="3077" width="5.7109375" style="1" customWidth="1"/>
    <col min="3078" max="3085" width="6.28515625" style="1" customWidth="1"/>
    <col min="3086" max="3086" width="5" style="1" customWidth="1"/>
    <col min="3087" max="3087" width="6.7109375" style="1" customWidth="1"/>
    <col min="3088" max="3090" width="3.7109375" style="1" customWidth="1"/>
    <col min="3091" max="3091" width="7" style="1" customWidth="1"/>
    <col min="3092" max="3092" width="5.5703125" style="1" customWidth="1"/>
    <col min="3093" max="3093" width="6.85546875" style="1" customWidth="1"/>
    <col min="3094" max="3095" width="3.7109375" style="1" customWidth="1"/>
    <col min="3096" max="3096" width="6.28515625" style="1" customWidth="1"/>
    <col min="3097" max="3097" width="6" style="1" customWidth="1"/>
    <col min="3098" max="3104" width="6.28515625" style="1" customWidth="1"/>
    <col min="3105" max="3106" width="5.7109375" style="1" customWidth="1"/>
    <col min="3107" max="3108" width="2.7109375" style="1" customWidth="1"/>
    <col min="3109" max="3330" width="9.140625" style="1"/>
    <col min="3331" max="3332" width="2.7109375" style="1" customWidth="1"/>
    <col min="3333" max="3333" width="5.7109375" style="1" customWidth="1"/>
    <col min="3334" max="3341" width="6.28515625" style="1" customWidth="1"/>
    <col min="3342" max="3342" width="5" style="1" customWidth="1"/>
    <col min="3343" max="3343" width="6.7109375" style="1" customWidth="1"/>
    <col min="3344" max="3346" width="3.7109375" style="1" customWidth="1"/>
    <col min="3347" max="3347" width="7" style="1" customWidth="1"/>
    <col min="3348" max="3348" width="5.5703125" style="1" customWidth="1"/>
    <col min="3349" max="3349" width="6.85546875" style="1" customWidth="1"/>
    <col min="3350" max="3351" width="3.7109375" style="1" customWidth="1"/>
    <col min="3352" max="3352" width="6.28515625" style="1" customWidth="1"/>
    <col min="3353" max="3353" width="6" style="1" customWidth="1"/>
    <col min="3354" max="3360" width="6.28515625" style="1" customWidth="1"/>
    <col min="3361" max="3362" width="5.7109375" style="1" customWidth="1"/>
    <col min="3363" max="3364" width="2.7109375" style="1" customWidth="1"/>
    <col min="3365" max="3586" width="9.140625" style="1"/>
    <col min="3587" max="3588" width="2.7109375" style="1" customWidth="1"/>
    <col min="3589" max="3589" width="5.7109375" style="1" customWidth="1"/>
    <col min="3590" max="3597" width="6.28515625" style="1" customWidth="1"/>
    <col min="3598" max="3598" width="5" style="1" customWidth="1"/>
    <col min="3599" max="3599" width="6.7109375" style="1" customWidth="1"/>
    <col min="3600" max="3602" width="3.7109375" style="1" customWidth="1"/>
    <col min="3603" max="3603" width="7" style="1" customWidth="1"/>
    <col min="3604" max="3604" width="5.5703125" style="1" customWidth="1"/>
    <col min="3605" max="3605" width="6.85546875" style="1" customWidth="1"/>
    <col min="3606" max="3607" width="3.7109375" style="1" customWidth="1"/>
    <col min="3608" max="3608" width="6.28515625" style="1" customWidth="1"/>
    <col min="3609" max="3609" width="6" style="1" customWidth="1"/>
    <col min="3610" max="3616" width="6.28515625" style="1" customWidth="1"/>
    <col min="3617" max="3618" width="5.7109375" style="1" customWidth="1"/>
    <col min="3619" max="3620" width="2.7109375" style="1" customWidth="1"/>
    <col min="3621" max="3842" width="9.140625" style="1"/>
    <col min="3843" max="3844" width="2.7109375" style="1" customWidth="1"/>
    <col min="3845" max="3845" width="5.7109375" style="1" customWidth="1"/>
    <col min="3846" max="3853" width="6.28515625" style="1" customWidth="1"/>
    <col min="3854" max="3854" width="5" style="1" customWidth="1"/>
    <col min="3855" max="3855" width="6.7109375" style="1" customWidth="1"/>
    <col min="3856" max="3858" width="3.7109375" style="1" customWidth="1"/>
    <col min="3859" max="3859" width="7" style="1" customWidth="1"/>
    <col min="3860" max="3860" width="5.5703125" style="1" customWidth="1"/>
    <col min="3861" max="3861" width="6.85546875" style="1" customWidth="1"/>
    <col min="3862" max="3863" width="3.7109375" style="1" customWidth="1"/>
    <col min="3864" max="3864" width="6.28515625" style="1" customWidth="1"/>
    <col min="3865" max="3865" width="6" style="1" customWidth="1"/>
    <col min="3866" max="3872" width="6.28515625" style="1" customWidth="1"/>
    <col min="3873" max="3874" width="5.7109375" style="1" customWidth="1"/>
    <col min="3875" max="3876" width="2.7109375" style="1" customWidth="1"/>
    <col min="3877" max="4098" width="9.140625" style="1"/>
    <col min="4099" max="4100" width="2.7109375" style="1" customWidth="1"/>
    <col min="4101" max="4101" width="5.7109375" style="1" customWidth="1"/>
    <col min="4102" max="4109" width="6.28515625" style="1" customWidth="1"/>
    <col min="4110" max="4110" width="5" style="1" customWidth="1"/>
    <col min="4111" max="4111" width="6.7109375" style="1" customWidth="1"/>
    <col min="4112" max="4114" width="3.7109375" style="1" customWidth="1"/>
    <col min="4115" max="4115" width="7" style="1" customWidth="1"/>
    <col min="4116" max="4116" width="5.5703125" style="1" customWidth="1"/>
    <col min="4117" max="4117" width="6.85546875" style="1" customWidth="1"/>
    <col min="4118" max="4119" width="3.7109375" style="1" customWidth="1"/>
    <col min="4120" max="4120" width="6.28515625" style="1" customWidth="1"/>
    <col min="4121" max="4121" width="6" style="1" customWidth="1"/>
    <col min="4122" max="4128" width="6.28515625" style="1" customWidth="1"/>
    <col min="4129" max="4130" width="5.7109375" style="1" customWidth="1"/>
    <col min="4131" max="4132" width="2.7109375" style="1" customWidth="1"/>
    <col min="4133" max="4354" width="9.140625" style="1"/>
    <col min="4355" max="4356" width="2.7109375" style="1" customWidth="1"/>
    <col min="4357" max="4357" width="5.7109375" style="1" customWidth="1"/>
    <col min="4358" max="4365" width="6.28515625" style="1" customWidth="1"/>
    <col min="4366" max="4366" width="5" style="1" customWidth="1"/>
    <col min="4367" max="4367" width="6.7109375" style="1" customWidth="1"/>
    <col min="4368" max="4370" width="3.7109375" style="1" customWidth="1"/>
    <col min="4371" max="4371" width="7" style="1" customWidth="1"/>
    <col min="4372" max="4372" width="5.5703125" style="1" customWidth="1"/>
    <col min="4373" max="4373" width="6.85546875" style="1" customWidth="1"/>
    <col min="4374" max="4375" width="3.7109375" style="1" customWidth="1"/>
    <col min="4376" max="4376" width="6.28515625" style="1" customWidth="1"/>
    <col min="4377" max="4377" width="6" style="1" customWidth="1"/>
    <col min="4378" max="4384" width="6.28515625" style="1" customWidth="1"/>
    <col min="4385" max="4386" width="5.7109375" style="1" customWidth="1"/>
    <col min="4387" max="4388" width="2.7109375" style="1" customWidth="1"/>
    <col min="4389" max="4610" width="9.140625" style="1"/>
    <col min="4611" max="4612" width="2.7109375" style="1" customWidth="1"/>
    <col min="4613" max="4613" width="5.7109375" style="1" customWidth="1"/>
    <col min="4614" max="4621" width="6.28515625" style="1" customWidth="1"/>
    <col min="4622" max="4622" width="5" style="1" customWidth="1"/>
    <col min="4623" max="4623" width="6.7109375" style="1" customWidth="1"/>
    <col min="4624" max="4626" width="3.7109375" style="1" customWidth="1"/>
    <col min="4627" max="4627" width="7" style="1" customWidth="1"/>
    <col min="4628" max="4628" width="5.5703125" style="1" customWidth="1"/>
    <col min="4629" max="4629" width="6.85546875" style="1" customWidth="1"/>
    <col min="4630" max="4631" width="3.7109375" style="1" customWidth="1"/>
    <col min="4632" max="4632" width="6.28515625" style="1" customWidth="1"/>
    <col min="4633" max="4633" width="6" style="1" customWidth="1"/>
    <col min="4634" max="4640" width="6.28515625" style="1" customWidth="1"/>
    <col min="4641" max="4642" width="5.7109375" style="1" customWidth="1"/>
    <col min="4643" max="4644" width="2.7109375" style="1" customWidth="1"/>
    <col min="4645" max="4866" width="9.140625" style="1"/>
    <col min="4867" max="4868" width="2.7109375" style="1" customWidth="1"/>
    <col min="4869" max="4869" width="5.7109375" style="1" customWidth="1"/>
    <col min="4870" max="4877" width="6.28515625" style="1" customWidth="1"/>
    <col min="4878" max="4878" width="5" style="1" customWidth="1"/>
    <col min="4879" max="4879" width="6.7109375" style="1" customWidth="1"/>
    <col min="4880" max="4882" width="3.7109375" style="1" customWidth="1"/>
    <col min="4883" max="4883" width="7" style="1" customWidth="1"/>
    <col min="4884" max="4884" width="5.5703125" style="1" customWidth="1"/>
    <col min="4885" max="4885" width="6.85546875" style="1" customWidth="1"/>
    <col min="4886" max="4887" width="3.7109375" style="1" customWidth="1"/>
    <col min="4888" max="4888" width="6.28515625" style="1" customWidth="1"/>
    <col min="4889" max="4889" width="6" style="1" customWidth="1"/>
    <col min="4890" max="4896" width="6.28515625" style="1" customWidth="1"/>
    <col min="4897" max="4898" width="5.7109375" style="1" customWidth="1"/>
    <col min="4899" max="4900" width="2.7109375" style="1" customWidth="1"/>
    <col min="4901" max="5122" width="9.140625" style="1"/>
    <col min="5123" max="5124" width="2.7109375" style="1" customWidth="1"/>
    <col min="5125" max="5125" width="5.7109375" style="1" customWidth="1"/>
    <col min="5126" max="5133" width="6.28515625" style="1" customWidth="1"/>
    <col min="5134" max="5134" width="5" style="1" customWidth="1"/>
    <col min="5135" max="5135" width="6.7109375" style="1" customWidth="1"/>
    <col min="5136" max="5138" width="3.7109375" style="1" customWidth="1"/>
    <col min="5139" max="5139" width="7" style="1" customWidth="1"/>
    <col min="5140" max="5140" width="5.5703125" style="1" customWidth="1"/>
    <col min="5141" max="5141" width="6.85546875" style="1" customWidth="1"/>
    <col min="5142" max="5143" width="3.7109375" style="1" customWidth="1"/>
    <col min="5144" max="5144" width="6.28515625" style="1" customWidth="1"/>
    <col min="5145" max="5145" width="6" style="1" customWidth="1"/>
    <col min="5146" max="5152" width="6.28515625" style="1" customWidth="1"/>
    <col min="5153" max="5154" width="5.7109375" style="1" customWidth="1"/>
    <col min="5155" max="5156" width="2.7109375" style="1" customWidth="1"/>
    <col min="5157" max="5378" width="9.140625" style="1"/>
    <col min="5379" max="5380" width="2.7109375" style="1" customWidth="1"/>
    <col min="5381" max="5381" width="5.7109375" style="1" customWidth="1"/>
    <col min="5382" max="5389" width="6.28515625" style="1" customWidth="1"/>
    <col min="5390" max="5390" width="5" style="1" customWidth="1"/>
    <col min="5391" max="5391" width="6.7109375" style="1" customWidth="1"/>
    <col min="5392" max="5394" width="3.7109375" style="1" customWidth="1"/>
    <col min="5395" max="5395" width="7" style="1" customWidth="1"/>
    <col min="5396" max="5396" width="5.5703125" style="1" customWidth="1"/>
    <col min="5397" max="5397" width="6.85546875" style="1" customWidth="1"/>
    <col min="5398" max="5399" width="3.7109375" style="1" customWidth="1"/>
    <col min="5400" max="5400" width="6.28515625" style="1" customWidth="1"/>
    <col min="5401" max="5401" width="6" style="1" customWidth="1"/>
    <col min="5402" max="5408" width="6.28515625" style="1" customWidth="1"/>
    <col min="5409" max="5410" width="5.7109375" style="1" customWidth="1"/>
    <col min="5411" max="5412" width="2.7109375" style="1" customWidth="1"/>
    <col min="5413" max="5634" width="9.140625" style="1"/>
    <col min="5635" max="5636" width="2.7109375" style="1" customWidth="1"/>
    <col min="5637" max="5637" width="5.7109375" style="1" customWidth="1"/>
    <col min="5638" max="5645" width="6.28515625" style="1" customWidth="1"/>
    <col min="5646" max="5646" width="5" style="1" customWidth="1"/>
    <col min="5647" max="5647" width="6.7109375" style="1" customWidth="1"/>
    <col min="5648" max="5650" width="3.7109375" style="1" customWidth="1"/>
    <col min="5651" max="5651" width="7" style="1" customWidth="1"/>
    <col min="5652" max="5652" width="5.5703125" style="1" customWidth="1"/>
    <col min="5653" max="5653" width="6.85546875" style="1" customWidth="1"/>
    <col min="5654" max="5655" width="3.7109375" style="1" customWidth="1"/>
    <col min="5656" max="5656" width="6.28515625" style="1" customWidth="1"/>
    <col min="5657" max="5657" width="6" style="1" customWidth="1"/>
    <col min="5658" max="5664" width="6.28515625" style="1" customWidth="1"/>
    <col min="5665" max="5666" width="5.7109375" style="1" customWidth="1"/>
    <col min="5667" max="5668" width="2.7109375" style="1" customWidth="1"/>
    <col min="5669" max="5890" width="9.140625" style="1"/>
    <col min="5891" max="5892" width="2.7109375" style="1" customWidth="1"/>
    <col min="5893" max="5893" width="5.7109375" style="1" customWidth="1"/>
    <col min="5894" max="5901" width="6.28515625" style="1" customWidth="1"/>
    <col min="5902" max="5902" width="5" style="1" customWidth="1"/>
    <col min="5903" max="5903" width="6.7109375" style="1" customWidth="1"/>
    <col min="5904" max="5906" width="3.7109375" style="1" customWidth="1"/>
    <col min="5907" max="5907" width="7" style="1" customWidth="1"/>
    <col min="5908" max="5908" width="5.5703125" style="1" customWidth="1"/>
    <col min="5909" max="5909" width="6.85546875" style="1" customWidth="1"/>
    <col min="5910" max="5911" width="3.7109375" style="1" customWidth="1"/>
    <col min="5912" max="5912" width="6.28515625" style="1" customWidth="1"/>
    <col min="5913" max="5913" width="6" style="1" customWidth="1"/>
    <col min="5914" max="5920" width="6.28515625" style="1" customWidth="1"/>
    <col min="5921" max="5922" width="5.7109375" style="1" customWidth="1"/>
    <col min="5923" max="5924" width="2.7109375" style="1" customWidth="1"/>
    <col min="5925" max="6146" width="9.140625" style="1"/>
    <col min="6147" max="6148" width="2.7109375" style="1" customWidth="1"/>
    <col min="6149" max="6149" width="5.7109375" style="1" customWidth="1"/>
    <col min="6150" max="6157" width="6.28515625" style="1" customWidth="1"/>
    <col min="6158" max="6158" width="5" style="1" customWidth="1"/>
    <col min="6159" max="6159" width="6.7109375" style="1" customWidth="1"/>
    <col min="6160" max="6162" width="3.7109375" style="1" customWidth="1"/>
    <col min="6163" max="6163" width="7" style="1" customWidth="1"/>
    <col min="6164" max="6164" width="5.5703125" style="1" customWidth="1"/>
    <col min="6165" max="6165" width="6.85546875" style="1" customWidth="1"/>
    <col min="6166" max="6167" width="3.7109375" style="1" customWidth="1"/>
    <col min="6168" max="6168" width="6.28515625" style="1" customWidth="1"/>
    <col min="6169" max="6169" width="6" style="1" customWidth="1"/>
    <col min="6170" max="6176" width="6.28515625" style="1" customWidth="1"/>
    <col min="6177" max="6178" width="5.7109375" style="1" customWidth="1"/>
    <col min="6179" max="6180" width="2.7109375" style="1" customWidth="1"/>
    <col min="6181" max="6402" width="9.140625" style="1"/>
    <col min="6403" max="6404" width="2.7109375" style="1" customWidth="1"/>
    <col min="6405" max="6405" width="5.7109375" style="1" customWidth="1"/>
    <col min="6406" max="6413" width="6.28515625" style="1" customWidth="1"/>
    <col min="6414" max="6414" width="5" style="1" customWidth="1"/>
    <col min="6415" max="6415" width="6.7109375" style="1" customWidth="1"/>
    <col min="6416" max="6418" width="3.7109375" style="1" customWidth="1"/>
    <col min="6419" max="6419" width="7" style="1" customWidth="1"/>
    <col min="6420" max="6420" width="5.5703125" style="1" customWidth="1"/>
    <col min="6421" max="6421" width="6.85546875" style="1" customWidth="1"/>
    <col min="6422" max="6423" width="3.7109375" style="1" customWidth="1"/>
    <col min="6424" max="6424" width="6.28515625" style="1" customWidth="1"/>
    <col min="6425" max="6425" width="6" style="1" customWidth="1"/>
    <col min="6426" max="6432" width="6.28515625" style="1" customWidth="1"/>
    <col min="6433" max="6434" width="5.7109375" style="1" customWidth="1"/>
    <col min="6435" max="6436" width="2.7109375" style="1" customWidth="1"/>
    <col min="6437" max="6658" width="9.140625" style="1"/>
    <col min="6659" max="6660" width="2.7109375" style="1" customWidth="1"/>
    <col min="6661" max="6661" width="5.7109375" style="1" customWidth="1"/>
    <col min="6662" max="6669" width="6.28515625" style="1" customWidth="1"/>
    <col min="6670" max="6670" width="5" style="1" customWidth="1"/>
    <col min="6671" max="6671" width="6.7109375" style="1" customWidth="1"/>
    <col min="6672" max="6674" width="3.7109375" style="1" customWidth="1"/>
    <col min="6675" max="6675" width="7" style="1" customWidth="1"/>
    <col min="6676" max="6676" width="5.5703125" style="1" customWidth="1"/>
    <col min="6677" max="6677" width="6.85546875" style="1" customWidth="1"/>
    <col min="6678" max="6679" width="3.7109375" style="1" customWidth="1"/>
    <col min="6680" max="6680" width="6.28515625" style="1" customWidth="1"/>
    <col min="6681" max="6681" width="6" style="1" customWidth="1"/>
    <col min="6682" max="6688" width="6.28515625" style="1" customWidth="1"/>
    <col min="6689" max="6690" width="5.7109375" style="1" customWidth="1"/>
    <col min="6691" max="6692" width="2.7109375" style="1" customWidth="1"/>
    <col min="6693" max="6914" width="9.140625" style="1"/>
    <col min="6915" max="6916" width="2.7109375" style="1" customWidth="1"/>
    <col min="6917" max="6917" width="5.7109375" style="1" customWidth="1"/>
    <col min="6918" max="6925" width="6.28515625" style="1" customWidth="1"/>
    <col min="6926" max="6926" width="5" style="1" customWidth="1"/>
    <col min="6927" max="6927" width="6.7109375" style="1" customWidth="1"/>
    <col min="6928" max="6930" width="3.7109375" style="1" customWidth="1"/>
    <col min="6931" max="6931" width="7" style="1" customWidth="1"/>
    <col min="6932" max="6932" width="5.5703125" style="1" customWidth="1"/>
    <col min="6933" max="6933" width="6.85546875" style="1" customWidth="1"/>
    <col min="6934" max="6935" width="3.7109375" style="1" customWidth="1"/>
    <col min="6936" max="6936" width="6.28515625" style="1" customWidth="1"/>
    <col min="6937" max="6937" width="6" style="1" customWidth="1"/>
    <col min="6938" max="6944" width="6.28515625" style="1" customWidth="1"/>
    <col min="6945" max="6946" width="5.7109375" style="1" customWidth="1"/>
    <col min="6947" max="6948" width="2.7109375" style="1" customWidth="1"/>
    <col min="6949" max="7170" width="9.140625" style="1"/>
    <col min="7171" max="7172" width="2.7109375" style="1" customWidth="1"/>
    <col min="7173" max="7173" width="5.7109375" style="1" customWidth="1"/>
    <col min="7174" max="7181" width="6.28515625" style="1" customWidth="1"/>
    <col min="7182" max="7182" width="5" style="1" customWidth="1"/>
    <col min="7183" max="7183" width="6.7109375" style="1" customWidth="1"/>
    <col min="7184" max="7186" width="3.7109375" style="1" customWidth="1"/>
    <col min="7187" max="7187" width="7" style="1" customWidth="1"/>
    <col min="7188" max="7188" width="5.5703125" style="1" customWidth="1"/>
    <col min="7189" max="7189" width="6.85546875" style="1" customWidth="1"/>
    <col min="7190" max="7191" width="3.7109375" style="1" customWidth="1"/>
    <col min="7192" max="7192" width="6.28515625" style="1" customWidth="1"/>
    <col min="7193" max="7193" width="6" style="1" customWidth="1"/>
    <col min="7194" max="7200" width="6.28515625" style="1" customWidth="1"/>
    <col min="7201" max="7202" width="5.7109375" style="1" customWidth="1"/>
    <col min="7203" max="7204" width="2.7109375" style="1" customWidth="1"/>
    <col min="7205" max="7426" width="9.140625" style="1"/>
    <col min="7427" max="7428" width="2.7109375" style="1" customWidth="1"/>
    <col min="7429" max="7429" width="5.7109375" style="1" customWidth="1"/>
    <col min="7430" max="7437" width="6.28515625" style="1" customWidth="1"/>
    <col min="7438" max="7438" width="5" style="1" customWidth="1"/>
    <col min="7439" max="7439" width="6.7109375" style="1" customWidth="1"/>
    <col min="7440" max="7442" width="3.7109375" style="1" customWidth="1"/>
    <col min="7443" max="7443" width="7" style="1" customWidth="1"/>
    <col min="7444" max="7444" width="5.5703125" style="1" customWidth="1"/>
    <col min="7445" max="7445" width="6.85546875" style="1" customWidth="1"/>
    <col min="7446" max="7447" width="3.7109375" style="1" customWidth="1"/>
    <col min="7448" max="7448" width="6.28515625" style="1" customWidth="1"/>
    <col min="7449" max="7449" width="6" style="1" customWidth="1"/>
    <col min="7450" max="7456" width="6.28515625" style="1" customWidth="1"/>
    <col min="7457" max="7458" width="5.7109375" style="1" customWidth="1"/>
    <col min="7459" max="7460" width="2.7109375" style="1" customWidth="1"/>
    <col min="7461" max="7682" width="9.140625" style="1"/>
    <col min="7683" max="7684" width="2.7109375" style="1" customWidth="1"/>
    <col min="7685" max="7685" width="5.7109375" style="1" customWidth="1"/>
    <col min="7686" max="7693" width="6.28515625" style="1" customWidth="1"/>
    <col min="7694" max="7694" width="5" style="1" customWidth="1"/>
    <col min="7695" max="7695" width="6.7109375" style="1" customWidth="1"/>
    <col min="7696" max="7698" width="3.7109375" style="1" customWidth="1"/>
    <col min="7699" max="7699" width="7" style="1" customWidth="1"/>
    <col min="7700" max="7700" width="5.5703125" style="1" customWidth="1"/>
    <col min="7701" max="7701" width="6.85546875" style="1" customWidth="1"/>
    <col min="7702" max="7703" width="3.7109375" style="1" customWidth="1"/>
    <col min="7704" max="7704" width="6.28515625" style="1" customWidth="1"/>
    <col min="7705" max="7705" width="6" style="1" customWidth="1"/>
    <col min="7706" max="7712" width="6.28515625" style="1" customWidth="1"/>
    <col min="7713" max="7714" width="5.7109375" style="1" customWidth="1"/>
    <col min="7715" max="7716" width="2.7109375" style="1" customWidth="1"/>
    <col min="7717" max="7938" width="9.140625" style="1"/>
    <col min="7939" max="7940" width="2.7109375" style="1" customWidth="1"/>
    <col min="7941" max="7941" width="5.7109375" style="1" customWidth="1"/>
    <col min="7942" max="7949" width="6.28515625" style="1" customWidth="1"/>
    <col min="7950" max="7950" width="5" style="1" customWidth="1"/>
    <col min="7951" max="7951" width="6.7109375" style="1" customWidth="1"/>
    <col min="7952" max="7954" width="3.7109375" style="1" customWidth="1"/>
    <col min="7955" max="7955" width="7" style="1" customWidth="1"/>
    <col min="7956" max="7956" width="5.5703125" style="1" customWidth="1"/>
    <col min="7957" max="7957" width="6.85546875" style="1" customWidth="1"/>
    <col min="7958" max="7959" width="3.7109375" style="1" customWidth="1"/>
    <col min="7960" max="7960" width="6.28515625" style="1" customWidth="1"/>
    <col min="7961" max="7961" width="6" style="1" customWidth="1"/>
    <col min="7962" max="7968" width="6.28515625" style="1" customWidth="1"/>
    <col min="7969" max="7970" width="5.7109375" style="1" customWidth="1"/>
    <col min="7971" max="7972" width="2.7109375" style="1" customWidth="1"/>
    <col min="7973" max="8194" width="9.140625" style="1"/>
    <col min="8195" max="8196" width="2.7109375" style="1" customWidth="1"/>
    <col min="8197" max="8197" width="5.7109375" style="1" customWidth="1"/>
    <col min="8198" max="8205" width="6.28515625" style="1" customWidth="1"/>
    <col min="8206" max="8206" width="5" style="1" customWidth="1"/>
    <col min="8207" max="8207" width="6.7109375" style="1" customWidth="1"/>
    <col min="8208" max="8210" width="3.7109375" style="1" customWidth="1"/>
    <col min="8211" max="8211" width="7" style="1" customWidth="1"/>
    <col min="8212" max="8212" width="5.5703125" style="1" customWidth="1"/>
    <col min="8213" max="8213" width="6.85546875" style="1" customWidth="1"/>
    <col min="8214" max="8215" width="3.7109375" style="1" customWidth="1"/>
    <col min="8216" max="8216" width="6.28515625" style="1" customWidth="1"/>
    <col min="8217" max="8217" width="6" style="1" customWidth="1"/>
    <col min="8218" max="8224" width="6.28515625" style="1" customWidth="1"/>
    <col min="8225" max="8226" width="5.7109375" style="1" customWidth="1"/>
    <col min="8227" max="8228" width="2.7109375" style="1" customWidth="1"/>
    <col min="8229" max="8450" width="9.140625" style="1"/>
    <col min="8451" max="8452" width="2.7109375" style="1" customWidth="1"/>
    <col min="8453" max="8453" width="5.7109375" style="1" customWidth="1"/>
    <col min="8454" max="8461" width="6.28515625" style="1" customWidth="1"/>
    <col min="8462" max="8462" width="5" style="1" customWidth="1"/>
    <col min="8463" max="8463" width="6.7109375" style="1" customWidth="1"/>
    <col min="8464" max="8466" width="3.7109375" style="1" customWidth="1"/>
    <col min="8467" max="8467" width="7" style="1" customWidth="1"/>
    <col min="8468" max="8468" width="5.5703125" style="1" customWidth="1"/>
    <col min="8469" max="8469" width="6.85546875" style="1" customWidth="1"/>
    <col min="8470" max="8471" width="3.7109375" style="1" customWidth="1"/>
    <col min="8472" max="8472" width="6.28515625" style="1" customWidth="1"/>
    <col min="8473" max="8473" width="6" style="1" customWidth="1"/>
    <col min="8474" max="8480" width="6.28515625" style="1" customWidth="1"/>
    <col min="8481" max="8482" width="5.7109375" style="1" customWidth="1"/>
    <col min="8483" max="8484" width="2.7109375" style="1" customWidth="1"/>
    <col min="8485" max="8706" width="9.140625" style="1"/>
    <col min="8707" max="8708" width="2.7109375" style="1" customWidth="1"/>
    <col min="8709" max="8709" width="5.7109375" style="1" customWidth="1"/>
    <col min="8710" max="8717" width="6.28515625" style="1" customWidth="1"/>
    <col min="8718" max="8718" width="5" style="1" customWidth="1"/>
    <col min="8719" max="8719" width="6.7109375" style="1" customWidth="1"/>
    <col min="8720" max="8722" width="3.7109375" style="1" customWidth="1"/>
    <col min="8723" max="8723" width="7" style="1" customWidth="1"/>
    <col min="8724" max="8724" width="5.5703125" style="1" customWidth="1"/>
    <col min="8725" max="8725" width="6.85546875" style="1" customWidth="1"/>
    <col min="8726" max="8727" width="3.7109375" style="1" customWidth="1"/>
    <col min="8728" max="8728" width="6.28515625" style="1" customWidth="1"/>
    <col min="8729" max="8729" width="6" style="1" customWidth="1"/>
    <col min="8730" max="8736" width="6.28515625" style="1" customWidth="1"/>
    <col min="8737" max="8738" width="5.7109375" style="1" customWidth="1"/>
    <col min="8739" max="8740" width="2.7109375" style="1" customWidth="1"/>
    <col min="8741" max="8962" width="9.140625" style="1"/>
    <col min="8963" max="8964" width="2.7109375" style="1" customWidth="1"/>
    <col min="8965" max="8965" width="5.7109375" style="1" customWidth="1"/>
    <col min="8966" max="8973" width="6.28515625" style="1" customWidth="1"/>
    <col min="8974" max="8974" width="5" style="1" customWidth="1"/>
    <col min="8975" max="8975" width="6.7109375" style="1" customWidth="1"/>
    <col min="8976" max="8978" width="3.7109375" style="1" customWidth="1"/>
    <col min="8979" max="8979" width="7" style="1" customWidth="1"/>
    <col min="8980" max="8980" width="5.5703125" style="1" customWidth="1"/>
    <col min="8981" max="8981" width="6.85546875" style="1" customWidth="1"/>
    <col min="8982" max="8983" width="3.7109375" style="1" customWidth="1"/>
    <col min="8984" max="8984" width="6.28515625" style="1" customWidth="1"/>
    <col min="8985" max="8985" width="6" style="1" customWidth="1"/>
    <col min="8986" max="8992" width="6.28515625" style="1" customWidth="1"/>
    <col min="8993" max="8994" width="5.7109375" style="1" customWidth="1"/>
    <col min="8995" max="8996" width="2.7109375" style="1" customWidth="1"/>
    <col min="8997" max="9218" width="9.140625" style="1"/>
    <col min="9219" max="9220" width="2.7109375" style="1" customWidth="1"/>
    <col min="9221" max="9221" width="5.7109375" style="1" customWidth="1"/>
    <col min="9222" max="9229" width="6.28515625" style="1" customWidth="1"/>
    <col min="9230" max="9230" width="5" style="1" customWidth="1"/>
    <col min="9231" max="9231" width="6.7109375" style="1" customWidth="1"/>
    <col min="9232" max="9234" width="3.7109375" style="1" customWidth="1"/>
    <col min="9235" max="9235" width="7" style="1" customWidth="1"/>
    <col min="9236" max="9236" width="5.5703125" style="1" customWidth="1"/>
    <col min="9237" max="9237" width="6.85546875" style="1" customWidth="1"/>
    <col min="9238" max="9239" width="3.7109375" style="1" customWidth="1"/>
    <col min="9240" max="9240" width="6.28515625" style="1" customWidth="1"/>
    <col min="9241" max="9241" width="6" style="1" customWidth="1"/>
    <col min="9242" max="9248" width="6.28515625" style="1" customWidth="1"/>
    <col min="9249" max="9250" width="5.7109375" style="1" customWidth="1"/>
    <col min="9251" max="9252" width="2.7109375" style="1" customWidth="1"/>
    <col min="9253" max="9474" width="9.140625" style="1"/>
    <col min="9475" max="9476" width="2.7109375" style="1" customWidth="1"/>
    <col min="9477" max="9477" width="5.7109375" style="1" customWidth="1"/>
    <col min="9478" max="9485" width="6.28515625" style="1" customWidth="1"/>
    <col min="9486" max="9486" width="5" style="1" customWidth="1"/>
    <col min="9487" max="9487" width="6.7109375" style="1" customWidth="1"/>
    <col min="9488" max="9490" width="3.7109375" style="1" customWidth="1"/>
    <col min="9491" max="9491" width="7" style="1" customWidth="1"/>
    <col min="9492" max="9492" width="5.5703125" style="1" customWidth="1"/>
    <col min="9493" max="9493" width="6.85546875" style="1" customWidth="1"/>
    <col min="9494" max="9495" width="3.7109375" style="1" customWidth="1"/>
    <col min="9496" max="9496" width="6.28515625" style="1" customWidth="1"/>
    <col min="9497" max="9497" width="6" style="1" customWidth="1"/>
    <col min="9498" max="9504" width="6.28515625" style="1" customWidth="1"/>
    <col min="9505" max="9506" width="5.7109375" style="1" customWidth="1"/>
    <col min="9507" max="9508" width="2.7109375" style="1" customWidth="1"/>
    <col min="9509" max="9730" width="9.140625" style="1"/>
    <col min="9731" max="9732" width="2.7109375" style="1" customWidth="1"/>
    <col min="9733" max="9733" width="5.7109375" style="1" customWidth="1"/>
    <col min="9734" max="9741" width="6.28515625" style="1" customWidth="1"/>
    <col min="9742" max="9742" width="5" style="1" customWidth="1"/>
    <col min="9743" max="9743" width="6.7109375" style="1" customWidth="1"/>
    <col min="9744" max="9746" width="3.7109375" style="1" customWidth="1"/>
    <col min="9747" max="9747" width="7" style="1" customWidth="1"/>
    <col min="9748" max="9748" width="5.5703125" style="1" customWidth="1"/>
    <col min="9749" max="9749" width="6.85546875" style="1" customWidth="1"/>
    <col min="9750" max="9751" width="3.7109375" style="1" customWidth="1"/>
    <col min="9752" max="9752" width="6.28515625" style="1" customWidth="1"/>
    <col min="9753" max="9753" width="6" style="1" customWidth="1"/>
    <col min="9754" max="9760" width="6.28515625" style="1" customWidth="1"/>
    <col min="9761" max="9762" width="5.7109375" style="1" customWidth="1"/>
    <col min="9763" max="9764" width="2.7109375" style="1" customWidth="1"/>
    <col min="9765" max="9986" width="9.140625" style="1"/>
    <col min="9987" max="9988" width="2.7109375" style="1" customWidth="1"/>
    <col min="9989" max="9989" width="5.7109375" style="1" customWidth="1"/>
    <col min="9990" max="9997" width="6.28515625" style="1" customWidth="1"/>
    <col min="9998" max="9998" width="5" style="1" customWidth="1"/>
    <col min="9999" max="9999" width="6.7109375" style="1" customWidth="1"/>
    <col min="10000" max="10002" width="3.7109375" style="1" customWidth="1"/>
    <col min="10003" max="10003" width="7" style="1" customWidth="1"/>
    <col min="10004" max="10004" width="5.5703125" style="1" customWidth="1"/>
    <col min="10005" max="10005" width="6.85546875" style="1" customWidth="1"/>
    <col min="10006" max="10007" width="3.7109375" style="1" customWidth="1"/>
    <col min="10008" max="10008" width="6.28515625" style="1" customWidth="1"/>
    <col min="10009" max="10009" width="6" style="1" customWidth="1"/>
    <col min="10010" max="10016" width="6.28515625" style="1" customWidth="1"/>
    <col min="10017" max="10018" width="5.7109375" style="1" customWidth="1"/>
    <col min="10019" max="10020" width="2.7109375" style="1" customWidth="1"/>
    <col min="10021" max="10242" width="9.140625" style="1"/>
    <col min="10243" max="10244" width="2.7109375" style="1" customWidth="1"/>
    <col min="10245" max="10245" width="5.7109375" style="1" customWidth="1"/>
    <col min="10246" max="10253" width="6.28515625" style="1" customWidth="1"/>
    <col min="10254" max="10254" width="5" style="1" customWidth="1"/>
    <col min="10255" max="10255" width="6.7109375" style="1" customWidth="1"/>
    <col min="10256" max="10258" width="3.7109375" style="1" customWidth="1"/>
    <col min="10259" max="10259" width="7" style="1" customWidth="1"/>
    <col min="10260" max="10260" width="5.5703125" style="1" customWidth="1"/>
    <col min="10261" max="10261" width="6.85546875" style="1" customWidth="1"/>
    <col min="10262" max="10263" width="3.7109375" style="1" customWidth="1"/>
    <col min="10264" max="10264" width="6.28515625" style="1" customWidth="1"/>
    <col min="10265" max="10265" width="6" style="1" customWidth="1"/>
    <col min="10266" max="10272" width="6.28515625" style="1" customWidth="1"/>
    <col min="10273" max="10274" width="5.7109375" style="1" customWidth="1"/>
    <col min="10275" max="10276" width="2.7109375" style="1" customWidth="1"/>
    <col min="10277" max="10498" width="9.140625" style="1"/>
    <col min="10499" max="10500" width="2.7109375" style="1" customWidth="1"/>
    <col min="10501" max="10501" width="5.7109375" style="1" customWidth="1"/>
    <col min="10502" max="10509" width="6.28515625" style="1" customWidth="1"/>
    <col min="10510" max="10510" width="5" style="1" customWidth="1"/>
    <col min="10511" max="10511" width="6.7109375" style="1" customWidth="1"/>
    <col min="10512" max="10514" width="3.7109375" style="1" customWidth="1"/>
    <col min="10515" max="10515" width="7" style="1" customWidth="1"/>
    <col min="10516" max="10516" width="5.5703125" style="1" customWidth="1"/>
    <col min="10517" max="10517" width="6.85546875" style="1" customWidth="1"/>
    <col min="10518" max="10519" width="3.7109375" style="1" customWidth="1"/>
    <col min="10520" max="10520" width="6.28515625" style="1" customWidth="1"/>
    <col min="10521" max="10521" width="6" style="1" customWidth="1"/>
    <col min="10522" max="10528" width="6.28515625" style="1" customWidth="1"/>
    <col min="10529" max="10530" width="5.7109375" style="1" customWidth="1"/>
    <col min="10531" max="10532" width="2.7109375" style="1" customWidth="1"/>
    <col min="10533" max="10754" width="9.140625" style="1"/>
    <col min="10755" max="10756" width="2.7109375" style="1" customWidth="1"/>
    <col min="10757" max="10757" width="5.7109375" style="1" customWidth="1"/>
    <col min="10758" max="10765" width="6.28515625" style="1" customWidth="1"/>
    <col min="10766" max="10766" width="5" style="1" customWidth="1"/>
    <col min="10767" max="10767" width="6.7109375" style="1" customWidth="1"/>
    <col min="10768" max="10770" width="3.7109375" style="1" customWidth="1"/>
    <col min="10771" max="10771" width="7" style="1" customWidth="1"/>
    <col min="10772" max="10772" width="5.5703125" style="1" customWidth="1"/>
    <col min="10773" max="10773" width="6.85546875" style="1" customWidth="1"/>
    <col min="10774" max="10775" width="3.7109375" style="1" customWidth="1"/>
    <col min="10776" max="10776" width="6.28515625" style="1" customWidth="1"/>
    <col min="10777" max="10777" width="6" style="1" customWidth="1"/>
    <col min="10778" max="10784" width="6.28515625" style="1" customWidth="1"/>
    <col min="10785" max="10786" width="5.7109375" style="1" customWidth="1"/>
    <col min="10787" max="10788" width="2.7109375" style="1" customWidth="1"/>
    <col min="10789" max="11010" width="9.140625" style="1"/>
    <col min="11011" max="11012" width="2.7109375" style="1" customWidth="1"/>
    <col min="11013" max="11013" width="5.7109375" style="1" customWidth="1"/>
    <col min="11014" max="11021" width="6.28515625" style="1" customWidth="1"/>
    <col min="11022" max="11022" width="5" style="1" customWidth="1"/>
    <col min="11023" max="11023" width="6.7109375" style="1" customWidth="1"/>
    <col min="11024" max="11026" width="3.7109375" style="1" customWidth="1"/>
    <col min="11027" max="11027" width="7" style="1" customWidth="1"/>
    <col min="11028" max="11028" width="5.5703125" style="1" customWidth="1"/>
    <col min="11029" max="11029" width="6.85546875" style="1" customWidth="1"/>
    <col min="11030" max="11031" width="3.7109375" style="1" customWidth="1"/>
    <col min="11032" max="11032" width="6.28515625" style="1" customWidth="1"/>
    <col min="11033" max="11033" width="6" style="1" customWidth="1"/>
    <col min="11034" max="11040" width="6.28515625" style="1" customWidth="1"/>
    <col min="11041" max="11042" width="5.7109375" style="1" customWidth="1"/>
    <col min="11043" max="11044" width="2.7109375" style="1" customWidth="1"/>
    <col min="11045" max="11266" width="9.140625" style="1"/>
    <col min="11267" max="11268" width="2.7109375" style="1" customWidth="1"/>
    <col min="11269" max="11269" width="5.7109375" style="1" customWidth="1"/>
    <col min="11270" max="11277" width="6.28515625" style="1" customWidth="1"/>
    <col min="11278" max="11278" width="5" style="1" customWidth="1"/>
    <col min="11279" max="11279" width="6.7109375" style="1" customWidth="1"/>
    <col min="11280" max="11282" width="3.7109375" style="1" customWidth="1"/>
    <col min="11283" max="11283" width="7" style="1" customWidth="1"/>
    <col min="11284" max="11284" width="5.5703125" style="1" customWidth="1"/>
    <col min="11285" max="11285" width="6.85546875" style="1" customWidth="1"/>
    <col min="11286" max="11287" width="3.7109375" style="1" customWidth="1"/>
    <col min="11288" max="11288" width="6.28515625" style="1" customWidth="1"/>
    <col min="11289" max="11289" width="6" style="1" customWidth="1"/>
    <col min="11290" max="11296" width="6.28515625" style="1" customWidth="1"/>
    <col min="11297" max="11298" width="5.7109375" style="1" customWidth="1"/>
    <col min="11299" max="11300" width="2.7109375" style="1" customWidth="1"/>
    <col min="11301" max="11522" width="9.140625" style="1"/>
    <col min="11523" max="11524" width="2.7109375" style="1" customWidth="1"/>
    <col min="11525" max="11525" width="5.7109375" style="1" customWidth="1"/>
    <col min="11526" max="11533" width="6.28515625" style="1" customWidth="1"/>
    <col min="11534" max="11534" width="5" style="1" customWidth="1"/>
    <col min="11535" max="11535" width="6.7109375" style="1" customWidth="1"/>
    <col min="11536" max="11538" width="3.7109375" style="1" customWidth="1"/>
    <col min="11539" max="11539" width="7" style="1" customWidth="1"/>
    <col min="11540" max="11540" width="5.5703125" style="1" customWidth="1"/>
    <col min="11541" max="11541" width="6.85546875" style="1" customWidth="1"/>
    <col min="11542" max="11543" width="3.7109375" style="1" customWidth="1"/>
    <col min="11544" max="11544" width="6.28515625" style="1" customWidth="1"/>
    <col min="11545" max="11545" width="6" style="1" customWidth="1"/>
    <col min="11546" max="11552" width="6.28515625" style="1" customWidth="1"/>
    <col min="11553" max="11554" width="5.7109375" style="1" customWidth="1"/>
    <col min="11555" max="11556" width="2.7109375" style="1" customWidth="1"/>
    <col min="11557" max="11778" width="9.140625" style="1"/>
    <col min="11779" max="11780" width="2.7109375" style="1" customWidth="1"/>
    <col min="11781" max="11781" width="5.7109375" style="1" customWidth="1"/>
    <col min="11782" max="11789" width="6.28515625" style="1" customWidth="1"/>
    <col min="11790" max="11790" width="5" style="1" customWidth="1"/>
    <col min="11791" max="11791" width="6.7109375" style="1" customWidth="1"/>
    <col min="11792" max="11794" width="3.7109375" style="1" customWidth="1"/>
    <col min="11795" max="11795" width="7" style="1" customWidth="1"/>
    <col min="11796" max="11796" width="5.5703125" style="1" customWidth="1"/>
    <col min="11797" max="11797" width="6.85546875" style="1" customWidth="1"/>
    <col min="11798" max="11799" width="3.7109375" style="1" customWidth="1"/>
    <col min="11800" max="11800" width="6.28515625" style="1" customWidth="1"/>
    <col min="11801" max="11801" width="6" style="1" customWidth="1"/>
    <col min="11802" max="11808" width="6.28515625" style="1" customWidth="1"/>
    <col min="11809" max="11810" width="5.7109375" style="1" customWidth="1"/>
    <col min="11811" max="11812" width="2.7109375" style="1" customWidth="1"/>
    <col min="11813" max="12034" width="9.140625" style="1"/>
    <col min="12035" max="12036" width="2.7109375" style="1" customWidth="1"/>
    <col min="12037" max="12037" width="5.7109375" style="1" customWidth="1"/>
    <col min="12038" max="12045" width="6.28515625" style="1" customWidth="1"/>
    <col min="12046" max="12046" width="5" style="1" customWidth="1"/>
    <col min="12047" max="12047" width="6.7109375" style="1" customWidth="1"/>
    <col min="12048" max="12050" width="3.7109375" style="1" customWidth="1"/>
    <col min="12051" max="12051" width="7" style="1" customWidth="1"/>
    <col min="12052" max="12052" width="5.5703125" style="1" customWidth="1"/>
    <col min="12053" max="12053" width="6.85546875" style="1" customWidth="1"/>
    <col min="12054" max="12055" width="3.7109375" style="1" customWidth="1"/>
    <col min="12056" max="12056" width="6.28515625" style="1" customWidth="1"/>
    <col min="12057" max="12057" width="6" style="1" customWidth="1"/>
    <col min="12058" max="12064" width="6.28515625" style="1" customWidth="1"/>
    <col min="12065" max="12066" width="5.7109375" style="1" customWidth="1"/>
    <col min="12067" max="12068" width="2.7109375" style="1" customWidth="1"/>
    <col min="12069" max="12290" width="9.140625" style="1"/>
    <col min="12291" max="12292" width="2.7109375" style="1" customWidth="1"/>
    <col min="12293" max="12293" width="5.7109375" style="1" customWidth="1"/>
    <col min="12294" max="12301" width="6.28515625" style="1" customWidth="1"/>
    <col min="12302" max="12302" width="5" style="1" customWidth="1"/>
    <col min="12303" max="12303" width="6.7109375" style="1" customWidth="1"/>
    <col min="12304" max="12306" width="3.7109375" style="1" customWidth="1"/>
    <col min="12307" max="12307" width="7" style="1" customWidth="1"/>
    <col min="12308" max="12308" width="5.5703125" style="1" customWidth="1"/>
    <col min="12309" max="12309" width="6.85546875" style="1" customWidth="1"/>
    <col min="12310" max="12311" width="3.7109375" style="1" customWidth="1"/>
    <col min="12312" max="12312" width="6.28515625" style="1" customWidth="1"/>
    <col min="12313" max="12313" width="6" style="1" customWidth="1"/>
    <col min="12314" max="12320" width="6.28515625" style="1" customWidth="1"/>
    <col min="12321" max="12322" width="5.7109375" style="1" customWidth="1"/>
    <col min="12323" max="12324" width="2.7109375" style="1" customWidth="1"/>
    <col min="12325" max="12546" width="9.140625" style="1"/>
    <col min="12547" max="12548" width="2.7109375" style="1" customWidth="1"/>
    <col min="12549" max="12549" width="5.7109375" style="1" customWidth="1"/>
    <col min="12550" max="12557" width="6.28515625" style="1" customWidth="1"/>
    <col min="12558" max="12558" width="5" style="1" customWidth="1"/>
    <col min="12559" max="12559" width="6.7109375" style="1" customWidth="1"/>
    <col min="12560" max="12562" width="3.7109375" style="1" customWidth="1"/>
    <col min="12563" max="12563" width="7" style="1" customWidth="1"/>
    <col min="12564" max="12564" width="5.5703125" style="1" customWidth="1"/>
    <col min="12565" max="12565" width="6.85546875" style="1" customWidth="1"/>
    <col min="12566" max="12567" width="3.7109375" style="1" customWidth="1"/>
    <col min="12568" max="12568" width="6.28515625" style="1" customWidth="1"/>
    <col min="12569" max="12569" width="6" style="1" customWidth="1"/>
    <col min="12570" max="12576" width="6.28515625" style="1" customWidth="1"/>
    <col min="12577" max="12578" width="5.7109375" style="1" customWidth="1"/>
    <col min="12579" max="12580" width="2.7109375" style="1" customWidth="1"/>
    <col min="12581" max="12802" width="9.140625" style="1"/>
    <col min="12803" max="12804" width="2.7109375" style="1" customWidth="1"/>
    <col min="12805" max="12805" width="5.7109375" style="1" customWidth="1"/>
    <col min="12806" max="12813" width="6.28515625" style="1" customWidth="1"/>
    <col min="12814" max="12814" width="5" style="1" customWidth="1"/>
    <col min="12815" max="12815" width="6.7109375" style="1" customWidth="1"/>
    <col min="12816" max="12818" width="3.7109375" style="1" customWidth="1"/>
    <col min="12819" max="12819" width="7" style="1" customWidth="1"/>
    <col min="12820" max="12820" width="5.5703125" style="1" customWidth="1"/>
    <col min="12821" max="12821" width="6.85546875" style="1" customWidth="1"/>
    <col min="12822" max="12823" width="3.7109375" style="1" customWidth="1"/>
    <col min="12824" max="12824" width="6.28515625" style="1" customWidth="1"/>
    <col min="12825" max="12825" width="6" style="1" customWidth="1"/>
    <col min="12826" max="12832" width="6.28515625" style="1" customWidth="1"/>
    <col min="12833" max="12834" width="5.7109375" style="1" customWidth="1"/>
    <col min="12835" max="12836" width="2.7109375" style="1" customWidth="1"/>
    <col min="12837" max="13058" width="9.140625" style="1"/>
    <col min="13059" max="13060" width="2.7109375" style="1" customWidth="1"/>
    <col min="13061" max="13061" width="5.7109375" style="1" customWidth="1"/>
    <col min="13062" max="13069" width="6.28515625" style="1" customWidth="1"/>
    <col min="13070" max="13070" width="5" style="1" customWidth="1"/>
    <col min="13071" max="13071" width="6.7109375" style="1" customWidth="1"/>
    <col min="13072" max="13074" width="3.7109375" style="1" customWidth="1"/>
    <col min="13075" max="13075" width="7" style="1" customWidth="1"/>
    <col min="13076" max="13076" width="5.5703125" style="1" customWidth="1"/>
    <col min="13077" max="13077" width="6.85546875" style="1" customWidth="1"/>
    <col min="13078" max="13079" width="3.7109375" style="1" customWidth="1"/>
    <col min="13080" max="13080" width="6.28515625" style="1" customWidth="1"/>
    <col min="13081" max="13081" width="6" style="1" customWidth="1"/>
    <col min="13082" max="13088" width="6.28515625" style="1" customWidth="1"/>
    <col min="13089" max="13090" width="5.7109375" style="1" customWidth="1"/>
    <col min="13091" max="13092" width="2.7109375" style="1" customWidth="1"/>
    <col min="13093" max="13314" width="9.140625" style="1"/>
    <col min="13315" max="13316" width="2.7109375" style="1" customWidth="1"/>
    <col min="13317" max="13317" width="5.7109375" style="1" customWidth="1"/>
    <col min="13318" max="13325" width="6.28515625" style="1" customWidth="1"/>
    <col min="13326" max="13326" width="5" style="1" customWidth="1"/>
    <col min="13327" max="13327" width="6.7109375" style="1" customWidth="1"/>
    <col min="13328" max="13330" width="3.7109375" style="1" customWidth="1"/>
    <col min="13331" max="13331" width="7" style="1" customWidth="1"/>
    <col min="13332" max="13332" width="5.5703125" style="1" customWidth="1"/>
    <col min="13333" max="13333" width="6.85546875" style="1" customWidth="1"/>
    <col min="13334" max="13335" width="3.7109375" style="1" customWidth="1"/>
    <col min="13336" max="13336" width="6.28515625" style="1" customWidth="1"/>
    <col min="13337" max="13337" width="6" style="1" customWidth="1"/>
    <col min="13338" max="13344" width="6.28515625" style="1" customWidth="1"/>
    <col min="13345" max="13346" width="5.7109375" style="1" customWidth="1"/>
    <col min="13347" max="13348" width="2.7109375" style="1" customWidth="1"/>
    <col min="13349" max="13570" width="9.140625" style="1"/>
    <col min="13571" max="13572" width="2.7109375" style="1" customWidth="1"/>
    <col min="13573" max="13573" width="5.7109375" style="1" customWidth="1"/>
    <col min="13574" max="13581" width="6.28515625" style="1" customWidth="1"/>
    <col min="13582" max="13582" width="5" style="1" customWidth="1"/>
    <col min="13583" max="13583" width="6.7109375" style="1" customWidth="1"/>
    <col min="13584" max="13586" width="3.7109375" style="1" customWidth="1"/>
    <col min="13587" max="13587" width="7" style="1" customWidth="1"/>
    <col min="13588" max="13588" width="5.5703125" style="1" customWidth="1"/>
    <col min="13589" max="13589" width="6.85546875" style="1" customWidth="1"/>
    <col min="13590" max="13591" width="3.7109375" style="1" customWidth="1"/>
    <col min="13592" max="13592" width="6.28515625" style="1" customWidth="1"/>
    <col min="13593" max="13593" width="6" style="1" customWidth="1"/>
    <col min="13594" max="13600" width="6.28515625" style="1" customWidth="1"/>
    <col min="13601" max="13602" width="5.7109375" style="1" customWidth="1"/>
    <col min="13603" max="13604" width="2.7109375" style="1" customWidth="1"/>
    <col min="13605" max="13826" width="9.140625" style="1"/>
    <col min="13827" max="13828" width="2.7109375" style="1" customWidth="1"/>
    <col min="13829" max="13829" width="5.7109375" style="1" customWidth="1"/>
    <col min="13830" max="13837" width="6.28515625" style="1" customWidth="1"/>
    <col min="13838" max="13838" width="5" style="1" customWidth="1"/>
    <col min="13839" max="13839" width="6.7109375" style="1" customWidth="1"/>
    <col min="13840" max="13842" width="3.7109375" style="1" customWidth="1"/>
    <col min="13843" max="13843" width="7" style="1" customWidth="1"/>
    <col min="13844" max="13844" width="5.5703125" style="1" customWidth="1"/>
    <col min="13845" max="13845" width="6.85546875" style="1" customWidth="1"/>
    <col min="13846" max="13847" width="3.7109375" style="1" customWidth="1"/>
    <col min="13848" max="13848" width="6.28515625" style="1" customWidth="1"/>
    <col min="13849" max="13849" width="6" style="1" customWidth="1"/>
    <col min="13850" max="13856" width="6.28515625" style="1" customWidth="1"/>
    <col min="13857" max="13858" width="5.7109375" style="1" customWidth="1"/>
    <col min="13859" max="13860" width="2.7109375" style="1" customWidth="1"/>
    <col min="13861" max="14082" width="9.140625" style="1"/>
    <col min="14083" max="14084" width="2.7109375" style="1" customWidth="1"/>
    <col min="14085" max="14085" width="5.7109375" style="1" customWidth="1"/>
    <col min="14086" max="14093" width="6.28515625" style="1" customWidth="1"/>
    <col min="14094" max="14094" width="5" style="1" customWidth="1"/>
    <col min="14095" max="14095" width="6.7109375" style="1" customWidth="1"/>
    <col min="14096" max="14098" width="3.7109375" style="1" customWidth="1"/>
    <col min="14099" max="14099" width="7" style="1" customWidth="1"/>
    <col min="14100" max="14100" width="5.5703125" style="1" customWidth="1"/>
    <col min="14101" max="14101" width="6.85546875" style="1" customWidth="1"/>
    <col min="14102" max="14103" width="3.7109375" style="1" customWidth="1"/>
    <col min="14104" max="14104" width="6.28515625" style="1" customWidth="1"/>
    <col min="14105" max="14105" width="6" style="1" customWidth="1"/>
    <col min="14106" max="14112" width="6.28515625" style="1" customWidth="1"/>
    <col min="14113" max="14114" width="5.7109375" style="1" customWidth="1"/>
    <col min="14115" max="14116" width="2.7109375" style="1" customWidth="1"/>
    <col min="14117" max="14338" width="9.140625" style="1"/>
    <col min="14339" max="14340" width="2.7109375" style="1" customWidth="1"/>
    <col min="14341" max="14341" width="5.7109375" style="1" customWidth="1"/>
    <col min="14342" max="14349" width="6.28515625" style="1" customWidth="1"/>
    <col min="14350" max="14350" width="5" style="1" customWidth="1"/>
    <col min="14351" max="14351" width="6.7109375" style="1" customWidth="1"/>
    <col min="14352" max="14354" width="3.7109375" style="1" customWidth="1"/>
    <col min="14355" max="14355" width="7" style="1" customWidth="1"/>
    <col min="14356" max="14356" width="5.5703125" style="1" customWidth="1"/>
    <col min="14357" max="14357" width="6.85546875" style="1" customWidth="1"/>
    <col min="14358" max="14359" width="3.7109375" style="1" customWidth="1"/>
    <col min="14360" max="14360" width="6.28515625" style="1" customWidth="1"/>
    <col min="14361" max="14361" width="6" style="1" customWidth="1"/>
    <col min="14362" max="14368" width="6.28515625" style="1" customWidth="1"/>
    <col min="14369" max="14370" width="5.7109375" style="1" customWidth="1"/>
    <col min="14371" max="14372" width="2.7109375" style="1" customWidth="1"/>
    <col min="14373" max="14594" width="9.140625" style="1"/>
    <col min="14595" max="14596" width="2.7109375" style="1" customWidth="1"/>
    <col min="14597" max="14597" width="5.7109375" style="1" customWidth="1"/>
    <col min="14598" max="14605" width="6.28515625" style="1" customWidth="1"/>
    <col min="14606" max="14606" width="5" style="1" customWidth="1"/>
    <col min="14607" max="14607" width="6.7109375" style="1" customWidth="1"/>
    <col min="14608" max="14610" width="3.7109375" style="1" customWidth="1"/>
    <col min="14611" max="14611" width="7" style="1" customWidth="1"/>
    <col min="14612" max="14612" width="5.5703125" style="1" customWidth="1"/>
    <col min="14613" max="14613" width="6.85546875" style="1" customWidth="1"/>
    <col min="14614" max="14615" width="3.7109375" style="1" customWidth="1"/>
    <col min="14616" max="14616" width="6.28515625" style="1" customWidth="1"/>
    <col min="14617" max="14617" width="6" style="1" customWidth="1"/>
    <col min="14618" max="14624" width="6.28515625" style="1" customWidth="1"/>
    <col min="14625" max="14626" width="5.7109375" style="1" customWidth="1"/>
    <col min="14627" max="14628" width="2.7109375" style="1" customWidth="1"/>
    <col min="14629" max="14850" width="9.140625" style="1"/>
    <col min="14851" max="14852" width="2.7109375" style="1" customWidth="1"/>
    <col min="14853" max="14853" width="5.7109375" style="1" customWidth="1"/>
    <col min="14854" max="14861" width="6.28515625" style="1" customWidth="1"/>
    <col min="14862" max="14862" width="5" style="1" customWidth="1"/>
    <col min="14863" max="14863" width="6.7109375" style="1" customWidth="1"/>
    <col min="14864" max="14866" width="3.7109375" style="1" customWidth="1"/>
    <col min="14867" max="14867" width="7" style="1" customWidth="1"/>
    <col min="14868" max="14868" width="5.5703125" style="1" customWidth="1"/>
    <col min="14869" max="14869" width="6.85546875" style="1" customWidth="1"/>
    <col min="14870" max="14871" width="3.7109375" style="1" customWidth="1"/>
    <col min="14872" max="14872" width="6.28515625" style="1" customWidth="1"/>
    <col min="14873" max="14873" width="6" style="1" customWidth="1"/>
    <col min="14874" max="14880" width="6.28515625" style="1" customWidth="1"/>
    <col min="14881" max="14882" width="5.7109375" style="1" customWidth="1"/>
    <col min="14883" max="14884" width="2.7109375" style="1" customWidth="1"/>
    <col min="14885" max="15106" width="9.140625" style="1"/>
    <col min="15107" max="15108" width="2.7109375" style="1" customWidth="1"/>
    <col min="15109" max="15109" width="5.7109375" style="1" customWidth="1"/>
    <col min="15110" max="15117" width="6.28515625" style="1" customWidth="1"/>
    <col min="15118" max="15118" width="5" style="1" customWidth="1"/>
    <col min="15119" max="15119" width="6.7109375" style="1" customWidth="1"/>
    <col min="15120" max="15122" width="3.7109375" style="1" customWidth="1"/>
    <col min="15123" max="15123" width="7" style="1" customWidth="1"/>
    <col min="15124" max="15124" width="5.5703125" style="1" customWidth="1"/>
    <col min="15125" max="15125" width="6.85546875" style="1" customWidth="1"/>
    <col min="15126" max="15127" width="3.7109375" style="1" customWidth="1"/>
    <col min="15128" max="15128" width="6.28515625" style="1" customWidth="1"/>
    <col min="15129" max="15129" width="6" style="1" customWidth="1"/>
    <col min="15130" max="15136" width="6.28515625" style="1" customWidth="1"/>
    <col min="15137" max="15138" width="5.7109375" style="1" customWidth="1"/>
    <col min="15139" max="15140" width="2.7109375" style="1" customWidth="1"/>
    <col min="15141" max="15362" width="9.140625" style="1"/>
    <col min="15363" max="15364" width="2.7109375" style="1" customWidth="1"/>
    <col min="15365" max="15365" width="5.7109375" style="1" customWidth="1"/>
    <col min="15366" max="15373" width="6.28515625" style="1" customWidth="1"/>
    <col min="15374" max="15374" width="5" style="1" customWidth="1"/>
    <col min="15375" max="15375" width="6.7109375" style="1" customWidth="1"/>
    <col min="15376" max="15378" width="3.7109375" style="1" customWidth="1"/>
    <col min="15379" max="15379" width="7" style="1" customWidth="1"/>
    <col min="15380" max="15380" width="5.5703125" style="1" customWidth="1"/>
    <col min="15381" max="15381" width="6.85546875" style="1" customWidth="1"/>
    <col min="15382" max="15383" width="3.7109375" style="1" customWidth="1"/>
    <col min="15384" max="15384" width="6.28515625" style="1" customWidth="1"/>
    <col min="15385" max="15385" width="6" style="1" customWidth="1"/>
    <col min="15386" max="15392" width="6.28515625" style="1" customWidth="1"/>
    <col min="15393" max="15394" width="5.7109375" style="1" customWidth="1"/>
    <col min="15395" max="15396" width="2.7109375" style="1" customWidth="1"/>
    <col min="15397" max="15618" width="9.140625" style="1"/>
    <col min="15619" max="15620" width="2.7109375" style="1" customWidth="1"/>
    <col min="15621" max="15621" width="5.7109375" style="1" customWidth="1"/>
    <col min="15622" max="15629" width="6.28515625" style="1" customWidth="1"/>
    <col min="15630" max="15630" width="5" style="1" customWidth="1"/>
    <col min="15631" max="15631" width="6.7109375" style="1" customWidth="1"/>
    <col min="15632" max="15634" width="3.7109375" style="1" customWidth="1"/>
    <col min="15635" max="15635" width="7" style="1" customWidth="1"/>
    <col min="15636" max="15636" width="5.5703125" style="1" customWidth="1"/>
    <col min="15637" max="15637" width="6.85546875" style="1" customWidth="1"/>
    <col min="15638" max="15639" width="3.7109375" style="1" customWidth="1"/>
    <col min="15640" max="15640" width="6.28515625" style="1" customWidth="1"/>
    <col min="15641" max="15641" width="6" style="1" customWidth="1"/>
    <col min="15642" max="15648" width="6.28515625" style="1" customWidth="1"/>
    <col min="15649" max="15650" width="5.7109375" style="1" customWidth="1"/>
    <col min="15651" max="15652" width="2.7109375" style="1" customWidth="1"/>
    <col min="15653" max="15874" width="9.140625" style="1"/>
    <col min="15875" max="15876" width="2.7109375" style="1" customWidth="1"/>
    <col min="15877" max="15877" width="5.7109375" style="1" customWidth="1"/>
    <col min="15878" max="15885" width="6.28515625" style="1" customWidth="1"/>
    <col min="15886" max="15886" width="5" style="1" customWidth="1"/>
    <col min="15887" max="15887" width="6.7109375" style="1" customWidth="1"/>
    <col min="15888" max="15890" width="3.7109375" style="1" customWidth="1"/>
    <col min="15891" max="15891" width="7" style="1" customWidth="1"/>
    <col min="15892" max="15892" width="5.5703125" style="1" customWidth="1"/>
    <col min="15893" max="15893" width="6.85546875" style="1" customWidth="1"/>
    <col min="15894" max="15895" width="3.7109375" style="1" customWidth="1"/>
    <col min="15896" max="15896" width="6.28515625" style="1" customWidth="1"/>
    <col min="15897" max="15897" width="6" style="1" customWidth="1"/>
    <col min="15898" max="15904" width="6.28515625" style="1" customWidth="1"/>
    <col min="15905" max="15906" width="5.7109375" style="1" customWidth="1"/>
    <col min="15907" max="15908" width="2.7109375" style="1" customWidth="1"/>
    <col min="15909" max="16130" width="9.140625" style="1"/>
    <col min="16131" max="16132" width="2.7109375" style="1" customWidth="1"/>
    <col min="16133" max="16133" width="5.7109375" style="1" customWidth="1"/>
    <col min="16134" max="16141" width="6.28515625" style="1" customWidth="1"/>
    <col min="16142" max="16142" width="5" style="1" customWidth="1"/>
    <col min="16143" max="16143" width="6.7109375" style="1" customWidth="1"/>
    <col min="16144" max="16146" width="3.7109375" style="1" customWidth="1"/>
    <col min="16147" max="16147" width="7" style="1" customWidth="1"/>
    <col min="16148" max="16148" width="5.5703125" style="1" customWidth="1"/>
    <col min="16149" max="16149" width="6.85546875" style="1" customWidth="1"/>
    <col min="16150" max="16151" width="3.7109375" style="1" customWidth="1"/>
    <col min="16152" max="16152" width="6.28515625" style="1" customWidth="1"/>
    <col min="16153" max="16153" width="6" style="1" customWidth="1"/>
    <col min="16154" max="16160" width="6.28515625" style="1" customWidth="1"/>
    <col min="16161" max="16162" width="5.7109375" style="1" customWidth="1"/>
    <col min="16163" max="16164" width="2.7109375" style="1" customWidth="1"/>
    <col min="16165" max="16384" width="9.140625" style="1"/>
  </cols>
  <sheetData>
    <row r="1" spans="1:35" ht="31.5" thickBot="1" x14ac:dyDescent="0.25">
      <c r="B1" s="358" t="s">
        <v>490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  <c r="AH1" s="18"/>
      <c r="AI1" s="18"/>
    </row>
    <row r="2" spans="1:35" ht="12.75" customHeight="1" x14ac:dyDescent="0.2">
      <c r="A2" s="18"/>
      <c r="B2" s="453" t="s">
        <v>85</v>
      </c>
      <c r="C2" s="454"/>
      <c r="D2" s="454"/>
      <c r="E2" s="454"/>
      <c r="F2" s="284"/>
      <c r="G2" s="262" t="s">
        <v>0</v>
      </c>
      <c r="H2" s="476">
        <f ca="1">SetupOverview!D10</f>
        <v>43670</v>
      </c>
      <c r="I2" s="477"/>
      <c r="J2" s="468" t="s">
        <v>7</v>
      </c>
      <c r="K2" s="469"/>
      <c r="L2" s="478" t="str">
        <f>SetupOverview!D11</f>
        <v>01</v>
      </c>
      <c r="M2" s="479"/>
      <c r="N2" s="480"/>
      <c r="O2" s="467" t="s">
        <v>2</v>
      </c>
      <c r="P2" s="468"/>
      <c r="Q2" s="468"/>
      <c r="R2" s="469"/>
      <c r="S2" s="481" t="str">
        <f>SetupOverview!D12</f>
        <v>DB24</v>
      </c>
      <c r="T2" s="479"/>
      <c r="U2" s="479"/>
      <c r="V2" s="480"/>
      <c r="W2" s="467" t="s">
        <v>3</v>
      </c>
      <c r="X2" s="468"/>
      <c r="Y2" s="469"/>
      <c r="Z2" s="470" t="str">
        <f>SetupOverview!D12</f>
        <v>DB24</v>
      </c>
      <c r="AA2" s="471"/>
      <c r="AB2" s="467"/>
      <c r="AC2" s="468"/>
      <c r="AD2" s="468"/>
      <c r="AE2" s="472"/>
      <c r="AF2" s="472"/>
      <c r="AG2" s="49"/>
      <c r="AH2" s="3"/>
      <c r="AI2" s="63"/>
    </row>
    <row r="3" spans="1:35" ht="12.75" customHeight="1" x14ac:dyDescent="0.2">
      <c r="A3" s="18"/>
      <c r="B3" s="455"/>
      <c r="C3" s="456"/>
      <c r="D3" s="456"/>
      <c r="E3" s="456"/>
      <c r="F3" s="18"/>
      <c r="G3" s="253" t="s">
        <v>4</v>
      </c>
      <c r="H3" s="473" t="str">
        <f>SetupOverview!D13</f>
        <v>START SETUP</v>
      </c>
      <c r="I3" s="474"/>
      <c r="J3" s="341" t="s">
        <v>1</v>
      </c>
      <c r="K3" s="342"/>
      <c r="L3" s="317" t="str">
        <f>SetupOverview!D14</f>
        <v>Zalazone (VW)</v>
      </c>
      <c r="M3" s="318"/>
      <c r="N3" s="319"/>
      <c r="O3" s="475" t="s">
        <v>5</v>
      </c>
      <c r="P3" s="341"/>
      <c r="Q3" s="341"/>
      <c r="R3" s="342"/>
      <c r="S3" s="317" t="str">
        <f>SetupOverview!D18</f>
        <v>Mark Coombes</v>
      </c>
      <c r="T3" s="318"/>
      <c r="U3" s="318"/>
      <c r="V3" s="319"/>
      <c r="W3" s="475" t="s">
        <v>6</v>
      </c>
      <c r="X3" s="341"/>
      <c r="Y3" s="342"/>
      <c r="Z3" s="317">
        <f>SetupOverview!D20</f>
        <v>102</v>
      </c>
      <c r="AA3" s="319"/>
      <c r="AB3" s="475"/>
      <c r="AC3" s="341"/>
      <c r="AD3" s="341"/>
      <c r="AE3" s="482"/>
      <c r="AF3" s="483"/>
      <c r="AG3" s="251"/>
      <c r="AH3" s="7"/>
      <c r="AI3" s="64"/>
    </row>
    <row r="4" spans="1:35" ht="13.5" customHeight="1" thickBot="1" x14ac:dyDescent="0.25">
      <c r="A4" s="18"/>
      <c r="B4" s="457"/>
      <c r="C4" s="458"/>
      <c r="D4" s="458"/>
      <c r="E4" s="458"/>
      <c r="F4" s="285"/>
      <c r="G4" s="260" t="s">
        <v>52</v>
      </c>
      <c r="H4" s="459" t="str">
        <f>SetupOverview!D15</f>
        <v>Alan Cocks</v>
      </c>
      <c r="I4" s="460"/>
      <c r="J4" s="461" t="s">
        <v>53</v>
      </c>
      <c r="K4" s="462"/>
      <c r="L4" s="459" t="str">
        <f>SetupOverview!D16</f>
        <v>Danny King</v>
      </c>
      <c r="M4" s="463"/>
      <c r="N4" s="460"/>
      <c r="O4" s="464" t="s">
        <v>54</v>
      </c>
      <c r="P4" s="461"/>
      <c r="Q4" s="461"/>
      <c r="R4" s="462"/>
      <c r="S4" s="459" t="str">
        <f>SetupOverview!D17</f>
        <v>Mark Coombes</v>
      </c>
      <c r="T4" s="463"/>
      <c r="U4" s="463"/>
      <c r="V4" s="460"/>
      <c r="W4" s="464"/>
      <c r="X4" s="461"/>
      <c r="Y4" s="461"/>
      <c r="Z4" s="465"/>
      <c r="AA4" s="465"/>
      <c r="AB4" s="461"/>
      <c r="AC4" s="461"/>
      <c r="AD4" s="461"/>
      <c r="AE4" s="466"/>
      <c r="AF4" s="466"/>
      <c r="AG4" s="15"/>
      <c r="AH4" s="39"/>
      <c r="AI4" s="65"/>
    </row>
    <row r="5" spans="1:35" ht="13.5" thickBot="1" x14ac:dyDescent="0.25">
      <c r="B5" s="5"/>
      <c r="C5" s="6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59"/>
    </row>
    <row r="6" spans="1:35" x14ac:dyDescent="0.2">
      <c r="B6" s="5"/>
      <c r="C6" s="6"/>
      <c r="D6" s="9"/>
      <c r="E6" s="390"/>
      <c r="F6" s="390"/>
      <c r="G6" s="390"/>
      <c r="H6" s="391"/>
      <c r="I6" s="375" t="s">
        <v>8</v>
      </c>
      <c r="J6" s="376"/>
      <c r="K6" s="376"/>
      <c r="L6" s="10"/>
      <c r="M6" s="10"/>
      <c r="N6" s="49"/>
      <c r="O6" s="49"/>
      <c r="P6" s="49"/>
      <c r="Q6" s="49"/>
      <c r="R6" s="49"/>
      <c r="S6" s="49"/>
      <c r="T6" s="49"/>
      <c r="U6" s="49"/>
      <c r="V6" s="49"/>
      <c r="W6" s="2"/>
      <c r="X6" s="2"/>
      <c r="Y6" s="49"/>
      <c r="Z6" s="49"/>
      <c r="AA6" s="2"/>
      <c r="AB6" s="50"/>
      <c r="AC6" s="6"/>
      <c r="AD6" s="251"/>
      <c r="AE6" s="251"/>
      <c r="AF6" s="9"/>
      <c r="AG6" s="9"/>
      <c r="AH6" s="9"/>
      <c r="AI6" s="59"/>
    </row>
    <row r="7" spans="1:35" x14ac:dyDescent="0.2">
      <c r="B7" s="5"/>
      <c r="C7" s="6"/>
      <c r="D7" s="9"/>
      <c r="E7" s="341"/>
      <c r="F7" s="341"/>
      <c r="G7" s="341"/>
      <c r="H7" s="379"/>
      <c r="I7" s="340" t="s">
        <v>46</v>
      </c>
      <c r="J7" s="341"/>
      <c r="K7" s="342"/>
      <c r="L7" s="317" t="str">
        <f>SetupOverview!D97</f>
        <v>none</v>
      </c>
      <c r="M7" s="318"/>
      <c r="N7" s="319"/>
      <c r="O7" s="254"/>
      <c r="P7" s="253"/>
      <c r="Q7" s="253"/>
      <c r="R7" s="12" t="s">
        <v>86</v>
      </c>
      <c r="S7" s="449" t="str">
        <f>SetupOverview!D98</f>
        <v>yes</v>
      </c>
      <c r="T7" s="450"/>
      <c r="U7" s="450"/>
      <c r="V7" s="451"/>
      <c r="W7" s="395" t="s">
        <v>88</v>
      </c>
      <c r="X7" s="396"/>
      <c r="Y7" s="397"/>
      <c r="Z7" s="449" t="str">
        <f>SetupOverview!D99</f>
        <v>yes</v>
      </c>
      <c r="AA7" s="451"/>
      <c r="AB7" s="51"/>
      <c r="AC7" s="41"/>
      <c r="AD7" s="343"/>
      <c r="AE7" s="343"/>
      <c r="AF7" s="343"/>
      <c r="AG7" s="9"/>
      <c r="AH7" s="9"/>
      <c r="AI7" s="59"/>
    </row>
    <row r="8" spans="1:35" x14ac:dyDescent="0.2">
      <c r="B8" s="5"/>
      <c r="C8" s="6"/>
      <c r="D8" s="9"/>
      <c r="E8" s="440"/>
      <c r="F8" s="440"/>
      <c r="G8" s="440"/>
      <c r="H8" s="441"/>
      <c r="I8" s="442" t="s">
        <v>89</v>
      </c>
      <c r="J8" s="440"/>
      <c r="K8" s="443"/>
      <c r="L8" s="444" t="str">
        <f>SetupOverview!D100</f>
        <v>yes</v>
      </c>
      <c r="M8" s="445"/>
      <c r="N8" s="446"/>
      <c r="O8" s="447" t="s">
        <v>87</v>
      </c>
      <c r="P8" s="447"/>
      <c r="Q8" s="447"/>
      <c r="R8" s="448"/>
      <c r="S8" s="449" t="str">
        <f>SetupOverview!D101</f>
        <v>yes</v>
      </c>
      <c r="T8" s="450"/>
      <c r="U8" s="450"/>
      <c r="V8" s="451"/>
      <c r="W8" s="396"/>
      <c r="X8" s="396"/>
      <c r="Y8" s="396"/>
      <c r="Z8" s="452"/>
      <c r="AA8" s="452"/>
      <c r="AB8" s="51"/>
      <c r="AC8" s="41"/>
      <c r="AD8" s="343"/>
      <c r="AE8" s="343"/>
      <c r="AF8" s="9"/>
      <c r="AG8" s="9"/>
      <c r="AH8" s="9"/>
      <c r="AI8" s="59"/>
    </row>
    <row r="9" spans="1:35" x14ac:dyDescent="0.2">
      <c r="B9" s="5"/>
      <c r="C9" s="6"/>
      <c r="D9" s="9"/>
      <c r="E9" s="341"/>
      <c r="F9" s="341"/>
      <c r="G9" s="341"/>
      <c r="H9" s="379"/>
      <c r="I9" s="340" t="s">
        <v>29</v>
      </c>
      <c r="J9" s="341"/>
      <c r="K9" s="342"/>
      <c r="L9" s="317" t="str">
        <f>IF(SetupOverview!D102="","",SetupOverview!D102)</f>
        <v/>
      </c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9"/>
      <c r="AB9" s="51"/>
      <c r="AC9" s="41"/>
      <c r="AD9" s="343"/>
      <c r="AE9" s="343"/>
      <c r="AF9" s="343"/>
      <c r="AG9" s="9"/>
      <c r="AH9" s="9"/>
      <c r="AI9" s="59"/>
    </row>
    <row r="10" spans="1:35" ht="13.5" thickBot="1" x14ac:dyDescent="0.25">
      <c r="B10" s="5"/>
      <c r="C10" s="6"/>
      <c r="D10" s="9"/>
      <c r="E10" s="345"/>
      <c r="F10" s="345"/>
      <c r="G10" s="345"/>
      <c r="H10" s="372"/>
      <c r="I10" s="373"/>
      <c r="J10" s="374"/>
      <c r="K10" s="374"/>
      <c r="L10" s="264"/>
      <c r="M10" s="264"/>
      <c r="N10" s="264"/>
      <c r="O10" s="264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4"/>
      <c r="AC10" s="280"/>
      <c r="AD10" s="14"/>
      <c r="AE10" s="14"/>
      <c r="AF10" s="9"/>
      <c r="AG10" s="9"/>
      <c r="AH10" s="9"/>
      <c r="AI10" s="59"/>
    </row>
    <row r="11" spans="1:35" ht="14.25" thickTop="1" thickBot="1" x14ac:dyDescent="0.25">
      <c r="B11" s="5"/>
      <c r="C11" s="6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14"/>
      <c r="AE11" s="14"/>
      <c r="AF11" s="9"/>
      <c r="AG11" s="9"/>
      <c r="AH11" s="9"/>
      <c r="AI11" s="59"/>
    </row>
    <row r="12" spans="1:35" x14ac:dyDescent="0.2">
      <c r="B12" s="5"/>
      <c r="C12" s="359" t="s">
        <v>59</v>
      </c>
      <c r="D12" s="360"/>
      <c r="E12" s="360"/>
      <c r="F12" s="281"/>
      <c r="G12" s="281"/>
      <c r="H12" s="175"/>
      <c r="I12" s="175"/>
      <c r="J12" s="175"/>
      <c r="K12" s="176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169"/>
      <c r="AA12" s="170"/>
      <c r="AB12" s="170"/>
      <c r="AC12" s="170"/>
      <c r="AD12" s="171"/>
      <c r="AE12" s="171"/>
      <c r="AF12" s="352" t="s">
        <v>21</v>
      </c>
      <c r="AG12" s="352"/>
      <c r="AH12" s="353"/>
      <c r="AI12" s="59"/>
    </row>
    <row r="13" spans="1:35" x14ac:dyDescent="0.2">
      <c r="B13" s="5"/>
      <c r="C13" s="361"/>
      <c r="D13" s="362"/>
      <c r="E13" s="362"/>
      <c r="F13" s="330" t="s">
        <v>497</v>
      </c>
      <c r="G13" s="330"/>
      <c r="H13" s="330"/>
      <c r="I13" s="330"/>
      <c r="J13" s="398" t="s">
        <v>35</v>
      </c>
      <c r="K13" s="364"/>
      <c r="L13" s="9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9"/>
      <c r="Z13" s="436" t="s">
        <v>35</v>
      </c>
      <c r="AA13" s="398"/>
      <c r="AB13" s="330" t="str">
        <f>F13</f>
        <v>Exposed thread (mm)</v>
      </c>
      <c r="AC13" s="330"/>
      <c r="AD13" s="330"/>
      <c r="AE13" s="330"/>
      <c r="AF13" s="354"/>
      <c r="AG13" s="354"/>
      <c r="AH13" s="355"/>
      <c r="AI13" s="59"/>
    </row>
    <row r="14" spans="1:35" ht="9.9499999999999993" customHeight="1" x14ac:dyDescent="0.2">
      <c r="B14" s="5"/>
      <c r="C14" s="357" t="s">
        <v>26</v>
      </c>
      <c r="D14" s="314"/>
      <c r="E14" s="314"/>
      <c r="F14" s="159"/>
      <c r="G14" s="159"/>
      <c r="H14" s="159"/>
      <c r="I14" s="159"/>
      <c r="J14" s="332">
        <f>IF(SetupOverview!D48="","",SetupOverview!D48)</f>
        <v>20</v>
      </c>
      <c r="K14" s="432"/>
      <c r="L14" s="155"/>
      <c r="M14" s="6"/>
      <c r="N14" s="41"/>
      <c r="O14" s="6"/>
      <c r="P14" s="6"/>
      <c r="Q14" s="6"/>
      <c r="R14" s="6"/>
      <c r="S14" s="6"/>
      <c r="T14" s="6"/>
      <c r="U14" s="6"/>
      <c r="V14" s="6"/>
      <c r="W14" s="41"/>
      <c r="X14" s="41"/>
      <c r="Y14" s="44"/>
      <c r="Z14" s="434">
        <f>IF(SetupOverview!D49="","",SetupOverview!D49)</f>
        <v>20</v>
      </c>
      <c r="AA14" s="337"/>
      <c r="AB14" s="292"/>
      <c r="AC14" s="293"/>
      <c r="AD14" s="294"/>
      <c r="AE14" s="295"/>
      <c r="AF14" s="314" t="s">
        <v>25</v>
      </c>
      <c r="AG14" s="314"/>
      <c r="AH14" s="356"/>
      <c r="AI14" s="59"/>
    </row>
    <row r="15" spans="1:35" ht="20.100000000000001" customHeight="1" x14ac:dyDescent="0.2">
      <c r="B15" s="5"/>
      <c r="C15" s="357"/>
      <c r="D15" s="314"/>
      <c r="E15" s="314"/>
      <c r="F15" s="159"/>
      <c r="G15" s="159"/>
      <c r="H15" s="159"/>
      <c r="I15" s="159"/>
      <c r="J15" s="334"/>
      <c r="K15" s="433"/>
      <c r="L15" s="437" t="s">
        <v>498</v>
      </c>
      <c r="M15" s="438"/>
      <c r="N15" s="438"/>
      <c r="O15" s="438"/>
      <c r="P15" s="438"/>
      <c r="Q15" s="438"/>
      <c r="R15" s="438"/>
      <c r="S15" s="438"/>
      <c r="T15" s="438"/>
      <c r="U15" s="438"/>
      <c r="V15" s="438"/>
      <c r="W15" s="438"/>
      <c r="X15" s="438"/>
      <c r="Y15" s="439"/>
      <c r="Z15" s="435"/>
      <c r="AA15" s="339"/>
      <c r="AB15" s="296"/>
      <c r="AC15" s="294"/>
      <c r="AD15" s="294"/>
      <c r="AE15" s="295"/>
      <c r="AF15" s="314"/>
      <c r="AG15" s="314"/>
      <c r="AH15" s="356"/>
      <c r="AI15" s="59"/>
    </row>
    <row r="16" spans="1:35" ht="9.9499999999999993" customHeight="1" x14ac:dyDescent="0.2">
      <c r="B16" s="5"/>
      <c r="C16" s="357" t="s">
        <v>486</v>
      </c>
      <c r="D16" s="314"/>
      <c r="E16" s="314"/>
      <c r="F16" s="159"/>
      <c r="G16" s="159"/>
      <c r="H16" s="320" t="s">
        <v>492</v>
      </c>
      <c r="I16" s="321"/>
      <c r="J16" s="180"/>
      <c r="K16" s="177"/>
      <c r="L16" s="437"/>
      <c r="M16" s="438"/>
      <c r="N16" s="438"/>
      <c r="O16" s="438"/>
      <c r="P16" s="438"/>
      <c r="Q16" s="438"/>
      <c r="R16" s="438"/>
      <c r="S16" s="438"/>
      <c r="T16" s="438"/>
      <c r="U16" s="438"/>
      <c r="V16" s="438"/>
      <c r="W16" s="438"/>
      <c r="X16" s="438"/>
      <c r="Y16" s="439"/>
      <c r="Z16" s="172"/>
      <c r="AA16" s="163"/>
      <c r="AB16" s="320" t="s">
        <v>492</v>
      </c>
      <c r="AC16" s="321"/>
      <c r="AD16" s="294"/>
      <c r="AE16" s="295"/>
      <c r="AF16" s="314" t="s">
        <v>486</v>
      </c>
      <c r="AG16" s="314"/>
      <c r="AH16" s="356"/>
      <c r="AI16" s="59"/>
    </row>
    <row r="17" spans="2:61" ht="20.100000000000001" customHeight="1" x14ac:dyDescent="0.2">
      <c r="B17" s="5"/>
      <c r="C17" s="357"/>
      <c r="D17" s="314"/>
      <c r="E17" s="314"/>
      <c r="F17" s="159"/>
      <c r="G17" s="159"/>
      <c r="H17" s="322">
        <v>7</v>
      </c>
      <c r="I17" s="323"/>
      <c r="J17" s="350"/>
      <c r="K17" s="364"/>
      <c r="L17" s="437"/>
      <c r="M17" s="438"/>
      <c r="N17" s="438"/>
      <c r="O17" s="438"/>
      <c r="P17" s="438"/>
      <c r="Q17" s="438"/>
      <c r="R17" s="438"/>
      <c r="S17" s="438"/>
      <c r="T17" s="438"/>
      <c r="U17" s="438"/>
      <c r="V17" s="438"/>
      <c r="W17" s="438"/>
      <c r="X17" s="438"/>
      <c r="Y17" s="439"/>
      <c r="Z17" s="173"/>
      <c r="AA17" s="159"/>
      <c r="AB17" s="322">
        <v>7</v>
      </c>
      <c r="AC17" s="323"/>
      <c r="AD17" s="294"/>
      <c r="AE17" s="288"/>
      <c r="AF17" s="314"/>
      <c r="AG17" s="314"/>
      <c r="AH17" s="356"/>
      <c r="AI17" s="59"/>
    </row>
    <row r="18" spans="2:61" ht="9.9499999999999993" customHeight="1" x14ac:dyDescent="0.2">
      <c r="B18" s="5"/>
      <c r="C18" s="357" t="s">
        <v>487</v>
      </c>
      <c r="D18" s="314"/>
      <c r="E18" s="314"/>
      <c r="F18" s="320" t="s">
        <v>494</v>
      </c>
      <c r="G18" s="321"/>
      <c r="H18" s="320" t="s">
        <v>493</v>
      </c>
      <c r="I18" s="321"/>
      <c r="J18" s="350"/>
      <c r="K18" s="364"/>
      <c r="L18" s="331"/>
      <c r="M18" s="331"/>
      <c r="N18" s="331"/>
      <c r="O18" s="345"/>
      <c r="P18" s="345"/>
      <c r="Q18" s="345"/>
      <c r="R18" s="345"/>
      <c r="S18" s="363"/>
      <c r="T18" s="363"/>
      <c r="U18" s="363"/>
      <c r="V18" s="363"/>
      <c r="W18" s="324"/>
      <c r="X18" s="324"/>
      <c r="Y18" s="324"/>
      <c r="Z18" s="172"/>
      <c r="AA18" s="163"/>
      <c r="AB18" s="320" t="s">
        <v>494</v>
      </c>
      <c r="AC18" s="321"/>
      <c r="AD18" s="320" t="s">
        <v>493</v>
      </c>
      <c r="AE18" s="321"/>
      <c r="AF18" s="313" t="s">
        <v>487</v>
      </c>
      <c r="AG18" s="314"/>
      <c r="AH18" s="356"/>
      <c r="AI18" s="59"/>
    </row>
    <row r="19" spans="2:61" ht="20.100000000000001" customHeight="1" x14ac:dyDescent="0.2">
      <c r="B19" s="5"/>
      <c r="C19" s="357"/>
      <c r="D19" s="314"/>
      <c r="E19" s="314"/>
      <c r="F19" s="322">
        <v>8</v>
      </c>
      <c r="G19" s="323"/>
      <c r="H19" s="322">
        <v>8</v>
      </c>
      <c r="I19" s="323"/>
      <c r="J19" s="350"/>
      <c r="K19" s="364"/>
      <c r="L19" s="365"/>
      <c r="M19" s="365"/>
      <c r="N19" s="365"/>
      <c r="O19" s="345"/>
      <c r="P19" s="345"/>
      <c r="Q19" s="345"/>
      <c r="R19" s="345"/>
      <c r="S19" s="251"/>
      <c r="T19" s="251"/>
      <c r="U19" s="208"/>
      <c r="V19" s="208"/>
      <c r="W19" s="324"/>
      <c r="X19" s="324"/>
      <c r="Y19" s="324"/>
      <c r="Z19" s="172"/>
      <c r="AA19" s="163"/>
      <c r="AB19" s="322">
        <v>8</v>
      </c>
      <c r="AC19" s="323"/>
      <c r="AD19" s="322">
        <v>8</v>
      </c>
      <c r="AE19" s="323"/>
      <c r="AF19" s="313"/>
      <c r="AG19" s="314"/>
      <c r="AH19" s="356"/>
      <c r="AI19" s="59"/>
    </row>
    <row r="20" spans="2:61" ht="9.9499999999999993" customHeight="1" x14ac:dyDescent="0.2">
      <c r="B20" s="5"/>
      <c r="C20" s="357" t="s">
        <v>488</v>
      </c>
      <c r="D20" s="314"/>
      <c r="E20" s="314"/>
      <c r="F20" s="320" t="s">
        <v>494</v>
      </c>
      <c r="G20" s="321"/>
      <c r="H20" s="320" t="s">
        <v>493</v>
      </c>
      <c r="I20" s="321"/>
      <c r="J20" s="350"/>
      <c r="K20" s="364"/>
      <c r="L20" s="331"/>
      <c r="M20" s="331"/>
      <c r="N20" s="331"/>
      <c r="O20" s="345"/>
      <c r="P20" s="345"/>
      <c r="Q20" s="345"/>
      <c r="R20" s="345"/>
      <c r="S20" s="345"/>
      <c r="T20" s="345"/>
      <c r="U20" s="345"/>
      <c r="V20" s="345"/>
      <c r="W20" s="43"/>
      <c r="X20" s="43"/>
      <c r="Y20" s="44"/>
      <c r="Z20" s="172"/>
      <c r="AA20" s="163"/>
      <c r="AB20" s="320" t="s">
        <v>494</v>
      </c>
      <c r="AC20" s="321"/>
      <c r="AD20" s="320" t="s">
        <v>493</v>
      </c>
      <c r="AE20" s="321"/>
      <c r="AF20" s="313" t="s">
        <v>488</v>
      </c>
      <c r="AG20" s="314"/>
      <c r="AH20" s="356"/>
      <c r="AI20" s="59"/>
    </row>
    <row r="21" spans="2:61" ht="20.100000000000001" customHeight="1" x14ac:dyDescent="0.2">
      <c r="B21" s="5"/>
      <c r="C21" s="357"/>
      <c r="D21" s="314"/>
      <c r="E21" s="314"/>
      <c r="F21" s="322">
        <v>7</v>
      </c>
      <c r="G21" s="323"/>
      <c r="H21" s="322">
        <v>14</v>
      </c>
      <c r="I21" s="323"/>
      <c r="J21" s="350"/>
      <c r="K21" s="364"/>
      <c r="L21" s="331"/>
      <c r="M21" s="331"/>
      <c r="N21" s="331"/>
      <c r="O21" s="363"/>
      <c r="P21" s="363"/>
      <c r="Q21" s="363"/>
      <c r="R21" s="363"/>
      <c r="S21" s="363"/>
      <c r="T21" s="363"/>
      <c r="U21" s="363"/>
      <c r="V21" s="209"/>
      <c r="W21" s="257"/>
      <c r="X21" s="257"/>
      <c r="Y21" s="257"/>
      <c r="Z21" s="172"/>
      <c r="AA21" s="163"/>
      <c r="AB21" s="322">
        <v>7</v>
      </c>
      <c r="AC21" s="323"/>
      <c r="AD21" s="322">
        <v>14</v>
      </c>
      <c r="AE21" s="323"/>
      <c r="AF21" s="313"/>
      <c r="AG21" s="314"/>
      <c r="AH21" s="356"/>
      <c r="AI21" s="59"/>
      <c r="AL21" s="17"/>
      <c r="AM21" s="17"/>
      <c r="AN21" s="17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</row>
    <row r="22" spans="2:61" ht="9.9499999999999993" customHeight="1" x14ac:dyDescent="0.2">
      <c r="B22" s="5"/>
      <c r="C22" s="357" t="s">
        <v>489</v>
      </c>
      <c r="D22" s="314"/>
      <c r="E22" s="314"/>
      <c r="F22" s="287" t="s">
        <v>495</v>
      </c>
      <c r="G22" s="312" t="s">
        <v>496</v>
      </c>
      <c r="H22" s="312"/>
      <c r="I22" s="287" t="s">
        <v>492</v>
      </c>
      <c r="J22" s="159"/>
      <c r="K22" s="182"/>
      <c r="L22" s="331"/>
      <c r="M22" s="331"/>
      <c r="N22" s="331"/>
      <c r="O22" s="363"/>
      <c r="P22" s="363"/>
      <c r="Q22" s="363"/>
      <c r="R22" s="363"/>
      <c r="S22" s="363"/>
      <c r="T22" s="363"/>
      <c r="U22" s="363"/>
      <c r="V22" s="209"/>
      <c r="W22" s="257"/>
      <c r="X22" s="257"/>
      <c r="Y22" s="257"/>
      <c r="Z22" s="172"/>
      <c r="AA22" s="163"/>
      <c r="AB22" s="287" t="s">
        <v>492</v>
      </c>
      <c r="AC22" s="312" t="s">
        <v>496</v>
      </c>
      <c r="AD22" s="312"/>
      <c r="AE22" s="287" t="s">
        <v>495</v>
      </c>
      <c r="AF22" s="313" t="s">
        <v>489</v>
      </c>
      <c r="AG22" s="314"/>
      <c r="AH22" s="356"/>
      <c r="AI22" s="59"/>
      <c r="AL22" s="18"/>
      <c r="AM22" s="18"/>
      <c r="AN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</row>
    <row r="23" spans="2:61" ht="20.100000000000001" customHeight="1" x14ac:dyDescent="0.2">
      <c r="B23" s="5"/>
      <c r="C23" s="357"/>
      <c r="D23" s="314"/>
      <c r="E23" s="314"/>
      <c r="F23" s="304">
        <v>8</v>
      </c>
      <c r="G23" s="316">
        <v>8</v>
      </c>
      <c r="H23" s="316"/>
      <c r="I23" s="304">
        <f>IF(SetupOverview!D39="","",SetupOverview!D39)</f>
        <v>30</v>
      </c>
      <c r="J23" s="159"/>
      <c r="K23" s="182"/>
      <c r="L23" s="254"/>
      <c r="M23" s="254"/>
      <c r="N23" s="254"/>
      <c r="O23" s="256"/>
      <c r="P23" s="256"/>
      <c r="Q23" s="256"/>
      <c r="R23" s="256"/>
      <c r="S23" s="256"/>
      <c r="T23" s="256"/>
      <c r="U23" s="256"/>
      <c r="V23" s="256"/>
      <c r="W23" s="257"/>
      <c r="X23" s="257"/>
      <c r="Y23" s="44"/>
      <c r="Z23" s="172"/>
      <c r="AA23" s="163"/>
      <c r="AB23" s="304">
        <f>IF(SetupOverview!D40="","",SetupOverview!D40)</f>
        <v>30</v>
      </c>
      <c r="AC23" s="316">
        <v>8</v>
      </c>
      <c r="AD23" s="316"/>
      <c r="AE23" s="304">
        <v>8</v>
      </c>
      <c r="AF23" s="313"/>
      <c r="AG23" s="314"/>
      <c r="AH23" s="356"/>
      <c r="AI23" s="59"/>
      <c r="AL23" s="18"/>
      <c r="AM23" s="18"/>
      <c r="AN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</row>
    <row r="24" spans="2:61" ht="13.5" thickBot="1" x14ac:dyDescent="0.25">
      <c r="B24" s="5"/>
      <c r="C24" s="282"/>
      <c r="D24" s="283"/>
      <c r="E24" s="283"/>
      <c r="F24" s="283"/>
      <c r="G24" s="283"/>
      <c r="H24" s="283"/>
      <c r="I24" s="283"/>
      <c r="J24" s="283"/>
      <c r="K24" s="286"/>
      <c r="L24" s="58"/>
      <c r="M24" s="58"/>
      <c r="N24" s="58"/>
      <c r="O24" s="251"/>
      <c r="P24" s="251"/>
      <c r="Q24" s="251"/>
      <c r="R24" s="251"/>
      <c r="S24" s="251"/>
      <c r="T24" s="251"/>
      <c r="U24" s="251"/>
      <c r="V24" s="251"/>
      <c r="W24" s="250"/>
      <c r="X24" s="250"/>
      <c r="Y24" s="9"/>
      <c r="Z24" s="291"/>
      <c r="AA24" s="289"/>
      <c r="AB24" s="289"/>
      <c r="AC24" s="289"/>
      <c r="AD24" s="289"/>
      <c r="AE24" s="289"/>
      <c r="AF24" s="289"/>
      <c r="AG24" s="289"/>
      <c r="AH24" s="290"/>
      <c r="AI24" s="59"/>
      <c r="AL24" s="18"/>
      <c r="AM24" s="18"/>
      <c r="AN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</row>
    <row r="25" spans="2:61" ht="14.25" thickTop="1" thickBot="1" x14ac:dyDescent="0.25">
      <c r="B25" s="5"/>
      <c r="C25" s="43"/>
      <c r="D25" s="41"/>
      <c r="E25" s="41"/>
      <c r="F25" s="42"/>
      <c r="G25" s="42"/>
      <c r="H25" s="42"/>
      <c r="I25" s="41"/>
      <c r="J25" s="6"/>
      <c r="K25" s="6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345"/>
      <c r="AA25" s="345"/>
      <c r="AB25" s="430"/>
      <c r="AC25" s="430"/>
      <c r="AD25" s="430"/>
      <c r="AE25" s="365"/>
      <c r="AF25" s="365"/>
      <c r="AG25" s="431"/>
      <c r="AH25" s="431"/>
      <c r="AI25" s="59"/>
      <c r="AL25" s="18"/>
      <c r="AM25" s="18"/>
      <c r="AN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20"/>
      <c r="BG25" s="20"/>
      <c r="BH25" s="20"/>
      <c r="BI25" s="20"/>
    </row>
    <row r="26" spans="2:61" ht="12.95" customHeight="1" x14ac:dyDescent="0.2">
      <c r="B26" s="5"/>
      <c r="C26" s="19"/>
      <c r="D26" s="19"/>
      <c r="E26" s="19"/>
      <c r="F26" s="19"/>
      <c r="G26" s="19"/>
      <c r="H26" s="19"/>
      <c r="I26" s="19"/>
      <c r="J26" s="19"/>
      <c r="K26" s="19"/>
      <c r="L26" s="424" t="s">
        <v>10</v>
      </c>
      <c r="M26" s="425"/>
      <c r="N26" s="425"/>
      <c r="O26" s="425"/>
      <c r="P26" s="425"/>
      <c r="Q26" s="425"/>
      <c r="R26" s="425"/>
      <c r="S26" s="425"/>
      <c r="T26" s="425"/>
      <c r="U26" s="425"/>
      <c r="V26" s="425"/>
      <c r="W26" s="425"/>
      <c r="X26" s="425"/>
      <c r="Y26" s="426"/>
      <c r="Z26" s="19"/>
      <c r="AA26" s="19"/>
      <c r="AB26" s="19"/>
      <c r="AC26" s="19"/>
      <c r="AD26" s="19"/>
      <c r="AE26" s="19"/>
      <c r="AF26" s="19"/>
      <c r="AG26" s="19"/>
      <c r="AH26" s="19"/>
      <c r="AI26" s="59"/>
      <c r="AK26" s="20"/>
      <c r="AL26" s="18"/>
      <c r="AM26" s="67"/>
      <c r="AN26" s="67"/>
      <c r="AO26" s="67"/>
      <c r="AP26" s="18"/>
      <c r="AQ26" s="18"/>
      <c r="AR26" s="18"/>
      <c r="AS26" s="22"/>
      <c r="AT26" s="22"/>
      <c r="AU26" s="22"/>
      <c r="AV26" s="258"/>
      <c r="AW26" s="258"/>
      <c r="AX26" s="258"/>
      <c r="AY26" s="258"/>
      <c r="AZ26" s="22"/>
      <c r="BA26" s="22"/>
      <c r="BB26" s="22"/>
      <c r="BC26" s="18"/>
      <c r="BD26" s="18"/>
      <c r="BE26" s="18"/>
      <c r="BF26" s="20"/>
      <c r="BG26" s="20"/>
      <c r="BH26" s="20"/>
      <c r="BI26" s="20"/>
    </row>
    <row r="27" spans="2:61" ht="12.95" customHeight="1" x14ac:dyDescent="0.2">
      <c r="B27" s="25"/>
      <c r="C27" s="19"/>
      <c r="D27" s="19"/>
      <c r="E27" s="19"/>
      <c r="F27" s="19"/>
      <c r="G27" s="19"/>
      <c r="H27" s="19"/>
      <c r="I27" s="19"/>
      <c r="J27" s="19"/>
      <c r="K27" s="19"/>
      <c r="L27" s="427" t="s">
        <v>11</v>
      </c>
      <c r="M27" s="331"/>
      <c r="N27" s="428"/>
      <c r="O27" s="317" t="str">
        <f>SetupOverview!D58</f>
        <v>standard</v>
      </c>
      <c r="P27" s="318"/>
      <c r="Q27" s="318"/>
      <c r="R27" s="318"/>
      <c r="S27" s="318"/>
      <c r="T27" s="318"/>
      <c r="U27" s="318"/>
      <c r="V27" s="319"/>
      <c r="W27" s="44"/>
      <c r="X27" s="9"/>
      <c r="Y27" s="59"/>
      <c r="Z27" s="19"/>
      <c r="AA27" s="19"/>
      <c r="AB27" s="19"/>
      <c r="AC27" s="19"/>
      <c r="AD27" s="19"/>
      <c r="AE27" s="19"/>
      <c r="AF27" s="19"/>
      <c r="AG27" s="19"/>
      <c r="AH27" s="19"/>
      <c r="AI27" s="59"/>
      <c r="AK27" s="20"/>
      <c r="AL27" s="18"/>
      <c r="AM27" s="67"/>
      <c r="AN27" s="68"/>
      <c r="AO27" s="68"/>
      <c r="AP27" s="18"/>
      <c r="AQ27" s="18"/>
      <c r="AR27" s="18"/>
      <c r="AS27" s="22"/>
      <c r="AT27" s="22"/>
      <c r="AU27" s="28"/>
      <c r="AV27" s="408"/>
      <c r="AW27" s="408"/>
      <c r="AX27" s="408"/>
      <c r="AY27" s="408"/>
      <c r="AZ27" s="22"/>
      <c r="BA27" s="22"/>
      <c r="BB27" s="22"/>
      <c r="BC27" s="18"/>
      <c r="BD27" s="18"/>
      <c r="BE27" s="18"/>
      <c r="BF27" s="20"/>
      <c r="BG27" s="20"/>
      <c r="BH27" s="20"/>
      <c r="BI27" s="20"/>
    </row>
    <row r="28" spans="2:61" ht="12.95" customHeight="1" x14ac:dyDescent="0.2">
      <c r="B28" s="25"/>
      <c r="C28" s="19"/>
      <c r="D28" s="19"/>
      <c r="E28" s="19"/>
      <c r="F28" s="19"/>
      <c r="G28" s="19"/>
      <c r="H28" s="19"/>
      <c r="I28" s="19"/>
      <c r="J28" s="19"/>
      <c r="K28" s="19"/>
      <c r="L28" s="340" t="s">
        <v>12</v>
      </c>
      <c r="M28" s="341"/>
      <c r="N28" s="342"/>
      <c r="O28" s="317" t="str">
        <f>SetupOverview!D59</f>
        <v>40mm (300 Nm/rad)</v>
      </c>
      <c r="P28" s="318"/>
      <c r="Q28" s="318"/>
      <c r="R28" s="318"/>
      <c r="S28" s="318"/>
      <c r="T28" s="318"/>
      <c r="U28" s="318"/>
      <c r="V28" s="319"/>
      <c r="W28" s="347"/>
      <c r="X28" s="343"/>
      <c r="Y28" s="348"/>
      <c r="Z28" s="19"/>
      <c r="AA28" s="19"/>
      <c r="AB28" s="19"/>
      <c r="AC28" s="19"/>
      <c r="AD28" s="19"/>
      <c r="AE28" s="19"/>
      <c r="AF28" s="19"/>
      <c r="AG28" s="19"/>
      <c r="AH28" s="19"/>
      <c r="AI28" s="59"/>
      <c r="AK28" s="20"/>
      <c r="AL28" s="18"/>
      <c r="AM28" s="67"/>
      <c r="AN28" s="68"/>
      <c r="AO28" s="68"/>
      <c r="AP28" s="18"/>
      <c r="AQ28" s="18"/>
      <c r="AR28" s="18"/>
      <c r="AS28" s="22"/>
      <c r="AT28" s="22"/>
      <c r="AU28" s="28"/>
      <c r="AV28" s="258"/>
      <c r="AW28" s="258"/>
      <c r="AX28" s="258"/>
      <c r="AY28" s="258"/>
      <c r="AZ28" s="22"/>
      <c r="BA28" s="22"/>
      <c r="BB28" s="22"/>
      <c r="BC28" s="18"/>
      <c r="BD28" s="18"/>
      <c r="BE28" s="18"/>
      <c r="BF28" s="20"/>
      <c r="BG28" s="20"/>
      <c r="BH28" s="20"/>
      <c r="BI28" s="20"/>
    </row>
    <row r="29" spans="2:61" ht="12.95" customHeight="1" x14ac:dyDescent="0.2">
      <c r="B29" s="25"/>
      <c r="C29" s="19"/>
      <c r="D29" s="19"/>
      <c r="E29" s="19"/>
      <c r="F29" s="19"/>
      <c r="G29" s="19"/>
      <c r="H29" s="19"/>
      <c r="I29" s="19"/>
      <c r="J29" s="19"/>
      <c r="K29" s="19"/>
      <c r="L29" s="340" t="s">
        <v>39</v>
      </c>
      <c r="M29" s="341"/>
      <c r="N29" s="342"/>
      <c r="O29" s="411">
        <f>SetupOverview!D61</f>
        <v>1302</v>
      </c>
      <c r="P29" s="412"/>
      <c r="Q29" s="412"/>
      <c r="R29" s="412"/>
      <c r="S29" s="412"/>
      <c r="T29" s="412"/>
      <c r="U29" s="412"/>
      <c r="V29" s="413"/>
      <c r="W29" s="414"/>
      <c r="X29" s="415"/>
      <c r="Y29" s="416"/>
      <c r="Z29" s="19"/>
      <c r="AA29" s="19"/>
      <c r="AB29" s="19"/>
      <c r="AC29" s="19"/>
      <c r="AD29" s="19"/>
      <c r="AE29" s="19"/>
      <c r="AF29" s="19"/>
      <c r="AG29" s="19"/>
      <c r="AH29" s="19"/>
      <c r="AI29" s="59"/>
      <c r="AK29" s="20"/>
      <c r="AL29" s="18"/>
      <c r="AM29" s="67"/>
      <c r="AN29" s="68"/>
      <c r="AO29" s="68"/>
      <c r="AP29" s="18"/>
      <c r="AQ29" s="18"/>
      <c r="AR29" s="18"/>
      <c r="AS29" s="22"/>
      <c r="AT29" s="22"/>
      <c r="AU29" s="28"/>
      <c r="AV29" s="258"/>
      <c r="AW29" s="258"/>
      <c r="AX29" s="258"/>
      <c r="AY29" s="258"/>
      <c r="AZ29" s="22"/>
      <c r="BA29" s="22"/>
      <c r="BB29" s="22"/>
      <c r="BC29" s="18"/>
      <c r="BD29" s="18"/>
      <c r="BE29" s="18"/>
      <c r="BF29" s="20"/>
      <c r="BG29" s="20"/>
      <c r="BH29" s="20"/>
      <c r="BI29" s="20"/>
    </row>
    <row r="30" spans="2:61" ht="12.95" customHeight="1" x14ac:dyDescent="0.2">
      <c r="B30" s="25"/>
      <c r="C30" s="19"/>
      <c r="D30" s="19"/>
      <c r="E30" s="19"/>
      <c r="F30" s="19"/>
      <c r="G30" s="19"/>
      <c r="H30" s="19"/>
      <c r="I30" s="19"/>
      <c r="J30" s="19"/>
      <c r="K30" s="19"/>
      <c r="L30" s="340" t="s">
        <v>396</v>
      </c>
      <c r="M30" s="341"/>
      <c r="N30" s="342"/>
      <c r="O30" s="410">
        <f>IF(SetupOverview!D63="","",SetupOverview!D63)</f>
        <v>88</v>
      </c>
      <c r="P30" s="410"/>
      <c r="Q30" s="410"/>
      <c r="R30" s="410"/>
      <c r="S30" s="410">
        <f>IF(SetupOverview!D64="","",SetupOverview!D64)</f>
        <v>88</v>
      </c>
      <c r="T30" s="410"/>
      <c r="U30" s="410"/>
      <c r="V30" s="410"/>
      <c r="W30" s="417" t="s">
        <v>397</v>
      </c>
      <c r="X30" s="418"/>
      <c r="Y30" s="419"/>
      <c r="Z30" s="19"/>
      <c r="AA30" s="19"/>
      <c r="AB30" s="19"/>
      <c r="AC30" s="19"/>
      <c r="AD30" s="19"/>
      <c r="AE30" s="19"/>
      <c r="AF30" s="19"/>
      <c r="AG30" s="19"/>
      <c r="AH30" s="19"/>
      <c r="AI30" s="59"/>
      <c r="AK30" s="20"/>
      <c r="AL30" s="18"/>
      <c r="AM30" s="67"/>
      <c r="AN30" s="68"/>
      <c r="AO30" s="68"/>
      <c r="AP30" s="18"/>
      <c r="AQ30" s="18"/>
      <c r="AR30" s="18"/>
      <c r="AS30" s="22"/>
      <c r="AT30" s="22"/>
      <c r="AU30" s="28"/>
      <c r="AV30" s="258"/>
      <c r="AW30" s="258"/>
      <c r="AX30" s="258"/>
      <c r="AY30" s="258"/>
      <c r="AZ30" s="22"/>
      <c r="BA30" s="22"/>
      <c r="BB30" s="22"/>
      <c r="BC30" s="18"/>
      <c r="BD30" s="18"/>
      <c r="BE30" s="18"/>
      <c r="BF30" s="20"/>
      <c r="BG30" s="20"/>
      <c r="BH30" s="20"/>
      <c r="BI30" s="20"/>
    </row>
    <row r="31" spans="2:61" ht="12.95" customHeight="1" x14ac:dyDescent="0.2">
      <c r="B31" s="25"/>
      <c r="C31" s="19"/>
      <c r="D31" s="19"/>
      <c r="E31" s="19"/>
      <c r="F31" s="19"/>
      <c r="G31" s="19"/>
      <c r="H31" s="19"/>
      <c r="I31" s="19"/>
      <c r="J31" s="19"/>
      <c r="K31" s="19"/>
      <c r="L31" s="420" t="s">
        <v>373</v>
      </c>
      <c r="M31" s="341"/>
      <c r="N31" s="342"/>
      <c r="O31" s="410"/>
      <c r="P31" s="410"/>
      <c r="Q31" s="410"/>
      <c r="R31" s="410"/>
      <c r="S31" s="410"/>
      <c r="T31" s="410"/>
      <c r="U31" s="410"/>
      <c r="V31" s="410"/>
      <c r="W31" s="429" t="s">
        <v>373</v>
      </c>
      <c r="X31" s="343"/>
      <c r="Y31" s="348"/>
      <c r="Z31" s="19"/>
      <c r="AA31" s="19"/>
      <c r="AB31" s="19"/>
      <c r="AC31" s="19"/>
      <c r="AD31" s="19"/>
      <c r="AE31" s="19"/>
      <c r="AF31" s="19"/>
      <c r="AG31" s="19"/>
      <c r="AH31" s="19"/>
      <c r="AI31" s="59"/>
      <c r="AK31" s="20"/>
      <c r="AL31" s="18"/>
      <c r="AM31" s="67"/>
      <c r="AN31" s="68"/>
      <c r="AO31" s="68"/>
      <c r="AP31" s="18"/>
      <c r="AQ31" s="18"/>
      <c r="AR31" s="18"/>
      <c r="AS31" s="22"/>
      <c r="AT31" s="22"/>
      <c r="AU31" s="28"/>
      <c r="AV31" s="258"/>
      <c r="AW31" s="259"/>
      <c r="AX31" s="259"/>
      <c r="AY31" s="259"/>
      <c r="AZ31" s="22"/>
      <c r="BA31" s="22"/>
      <c r="BB31" s="22"/>
      <c r="BC31" s="18"/>
      <c r="BD31" s="18"/>
      <c r="BE31" s="18"/>
      <c r="BF31" s="20"/>
      <c r="BG31" s="20"/>
      <c r="BH31" s="20"/>
      <c r="BI31" s="20"/>
    </row>
    <row r="32" spans="2:61" ht="12.95" customHeight="1" x14ac:dyDescent="0.2">
      <c r="B32" s="5"/>
      <c r="C32" s="19"/>
      <c r="D32" s="19"/>
      <c r="E32" s="19"/>
      <c r="F32" s="19"/>
      <c r="G32" s="19"/>
      <c r="H32" s="19"/>
      <c r="I32" s="19"/>
      <c r="J32" s="19"/>
      <c r="K32" s="19"/>
      <c r="L32" s="344" t="s">
        <v>40</v>
      </c>
      <c r="M32" s="345"/>
      <c r="N32" s="346"/>
      <c r="O32" s="317" t="str">
        <f>SetupOverview!D65</f>
        <v>1 x 01193-81</v>
      </c>
      <c r="P32" s="318"/>
      <c r="Q32" s="318"/>
      <c r="R32" s="318"/>
      <c r="S32" s="318"/>
      <c r="T32" s="318"/>
      <c r="U32" s="318"/>
      <c r="V32" s="319"/>
      <c r="W32" s="347" t="s">
        <v>38</v>
      </c>
      <c r="X32" s="343"/>
      <c r="Y32" s="348"/>
      <c r="Z32" s="19"/>
      <c r="AA32" s="19"/>
      <c r="AB32" s="19"/>
      <c r="AC32" s="19"/>
      <c r="AD32" s="19"/>
      <c r="AE32" s="19"/>
      <c r="AF32" s="19"/>
      <c r="AG32" s="19"/>
      <c r="AH32" s="19"/>
      <c r="AI32" s="59"/>
      <c r="AK32" s="20"/>
      <c r="AL32" s="18"/>
      <c r="AM32" s="67"/>
      <c r="AN32" s="68"/>
      <c r="AO32" s="68"/>
      <c r="AP32" s="18"/>
      <c r="AQ32" s="22"/>
      <c r="AR32" s="22"/>
      <c r="AS32" s="22"/>
      <c r="AT32" s="22"/>
      <c r="AU32" s="22"/>
      <c r="AV32" s="408"/>
      <c r="AW32" s="408"/>
      <c r="AX32" s="408"/>
      <c r="AY32" s="408"/>
      <c r="AZ32" s="22"/>
      <c r="BA32" s="22"/>
      <c r="BB32" s="22"/>
      <c r="BC32" s="22"/>
      <c r="BD32" s="22"/>
      <c r="BE32" s="18"/>
      <c r="BF32" s="20"/>
      <c r="BG32" s="20"/>
      <c r="BH32" s="20"/>
      <c r="BI32" s="20"/>
    </row>
    <row r="33" spans="2:61" ht="12.95" customHeight="1" x14ac:dyDescent="0.2">
      <c r="B33" s="5"/>
      <c r="C33" s="19"/>
      <c r="D33" s="19"/>
      <c r="E33" s="19"/>
      <c r="F33" s="19"/>
      <c r="G33" s="19"/>
      <c r="H33" s="19"/>
      <c r="I33" s="19"/>
      <c r="J33" s="19"/>
      <c r="K33" s="19"/>
      <c r="L33" s="340" t="s">
        <v>369</v>
      </c>
      <c r="M33" s="341"/>
      <c r="N33" s="342"/>
      <c r="O33" s="410" t="str">
        <f>IF(SetupOverview!D66="","",SetupOverview!D66)</f>
        <v/>
      </c>
      <c r="P33" s="410"/>
      <c r="Q33" s="410"/>
      <c r="R33" s="410"/>
      <c r="S33" s="410" t="str">
        <f>IF(SetupOverview!D67="","",SetupOverview!D67)</f>
        <v/>
      </c>
      <c r="T33" s="410"/>
      <c r="U33" s="410"/>
      <c r="V33" s="410"/>
      <c r="W33" s="347" t="s">
        <v>371</v>
      </c>
      <c r="X33" s="343"/>
      <c r="Y33" s="348"/>
      <c r="Z33" s="19"/>
      <c r="AA33" s="19"/>
      <c r="AB33" s="19"/>
      <c r="AC33" s="19"/>
      <c r="AD33" s="19"/>
      <c r="AE33" s="19"/>
      <c r="AF33" s="19"/>
      <c r="AG33" s="19"/>
      <c r="AH33" s="19"/>
      <c r="AI33" s="59"/>
      <c r="AK33" s="20"/>
      <c r="AL33" s="18"/>
      <c r="AM33" s="67"/>
      <c r="AN33" s="68"/>
      <c r="AO33" s="68"/>
      <c r="AP33" s="18"/>
      <c r="AQ33" s="22"/>
      <c r="AR33" s="22"/>
      <c r="AS33" s="22"/>
      <c r="AT33" s="22"/>
      <c r="AU33" s="22"/>
      <c r="AV33" s="258"/>
      <c r="AW33" s="258"/>
      <c r="AX33" s="258"/>
      <c r="AY33" s="258"/>
      <c r="AZ33" s="22"/>
      <c r="BA33" s="22"/>
      <c r="BB33" s="22"/>
      <c r="BC33" s="22"/>
      <c r="BD33" s="22"/>
      <c r="BE33" s="18"/>
      <c r="BF33" s="20"/>
      <c r="BG33" s="20"/>
      <c r="BH33" s="20"/>
      <c r="BI33" s="20"/>
    </row>
    <row r="34" spans="2:61" ht="12.95" customHeight="1" x14ac:dyDescent="0.2">
      <c r="B34" s="5"/>
      <c r="C34" s="19"/>
      <c r="D34" s="19"/>
      <c r="E34" s="19"/>
      <c r="F34" s="19"/>
      <c r="G34" s="19"/>
      <c r="H34" s="19"/>
      <c r="I34" s="19"/>
      <c r="J34" s="19"/>
      <c r="K34" s="19"/>
      <c r="L34" s="340"/>
      <c r="M34" s="341"/>
      <c r="N34" s="342"/>
      <c r="O34" s="410"/>
      <c r="P34" s="410"/>
      <c r="Q34" s="410"/>
      <c r="R34" s="410"/>
      <c r="S34" s="410"/>
      <c r="T34" s="410"/>
      <c r="U34" s="410"/>
      <c r="V34" s="410"/>
      <c r="W34" s="347"/>
      <c r="X34" s="343"/>
      <c r="Y34" s="348"/>
      <c r="Z34" s="19"/>
      <c r="AA34" s="19"/>
      <c r="AB34" s="19"/>
      <c r="AC34" s="19"/>
      <c r="AD34" s="19"/>
      <c r="AE34" s="19"/>
      <c r="AF34" s="19"/>
      <c r="AG34" s="19"/>
      <c r="AH34" s="19"/>
      <c r="AI34" s="59"/>
      <c r="AK34" s="20"/>
      <c r="AL34" s="18"/>
      <c r="AM34" s="67"/>
      <c r="AN34" s="68"/>
      <c r="AO34" s="68"/>
      <c r="AP34" s="18"/>
      <c r="AQ34" s="22"/>
      <c r="AR34" s="22"/>
      <c r="AS34" s="22"/>
      <c r="AT34" s="22"/>
      <c r="AU34" s="22"/>
      <c r="AV34" s="258"/>
      <c r="AW34" s="258"/>
      <c r="AX34" s="258"/>
      <c r="AY34" s="258"/>
      <c r="AZ34" s="22"/>
      <c r="BA34" s="22"/>
      <c r="BB34" s="22"/>
      <c r="BC34" s="22"/>
      <c r="BD34" s="22"/>
      <c r="BE34" s="18"/>
      <c r="BF34" s="20"/>
      <c r="BG34" s="20"/>
      <c r="BH34" s="20"/>
      <c r="BI34" s="20"/>
    </row>
    <row r="35" spans="2:61" ht="12.95" customHeight="1" x14ac:dyDescent="0.2">
      <c r="B35" s="5"/>
      <c r="C35" s="19"/>
      <c r="D35" s="19"/>
      <c r="E35" s="19"/>
      <c r="F35" s="19"/>
      <c r="G35" s="19"/>
      <c r="H35" s="19"/>
      <c r="I35" s="19"/>
      <c r="J35" s="19"/>
      <c r="K35" s="19"/>
      <c r="L35" s="340" t="s">
        <v>370</v>
      </c>
      <c r="M35" s="341"/>
      <c r="N35" s="342"/>
      <c r="O35" s="410" t="str">
        <f>IF(SetupOverview!D68="","",SetupOverview!D68)</f>
        <v/>
      </c>
      <c r="P35" s="410"/>
      <c r="Q35" s="410"/>
      <c r="R35" s="410"/>
      <c r="S35" s="410" t="str">
        <f>IF(SetupOverview!D69="","",SetupOverview!D69)</f>
        <v/>
      </c>
      <c r="T35" s="410"/>
      <c r="U35" s="410"/>
      <c r="V35" s="410"/>
      <c r="W35" s="347" t="s">
        <v>372</v>
      </c>
      <c r="X35" s="343"/>
      <c r="Y35" s="348"/>
      <c r="Z35" s="19"/>
      <c r="AA35" s="19"/>
      <c r="AB35" s="19"/>
      <c r="AC35" s="19"/>
      <c r="AD35" s="19"/>
      <c r="AE35" s="19"/>
      <c r="AF35" s="19"/>
      <c r="AG35" s="19"/>
      <c r="AH35" s="19"/>
      <c r="AI35" s="59"/>
      <c r="AK35" s="20"/>
      <c r="AL35" s="18"/>
      <c r="AM35" s="67"/>
      <c r="AN35" s="68"/>
      <c r="AO35" s="68"/>
      <c r="AP35" s="18"/>
      <c r="AQ35" s="22"/>
      <c r="AR35" s="22"/>
      <c r="AS35" s="22"/>
      <c r="AT35" s="22"/>
      <c r="AU35" s="22"/>
      <c r="AV35" s="258"/>
      <c r="AW35" s="258"/>
      <c r="AX35" s="258"/>
      <c r="AY35" s="258"/>
      <c r="AZ35" s="22"/>
      <c r="BA35" s="22"/>
      <c r="BB35" s="22"/>
      <c r="BC35" s="22"/>
      <c r="BD35" s="22"/>
      <c r="BE35" s="18"/>
      <c r="BF35" s="20"/>
      <c r="BG35" s="20"/>
      <c r="BH35" s="20"/>
      <c r="BI35" s="20"/>
    </row>
    <row r="36" spans="2:61" ht="12.95" customHeight="1" x14ac:dyDescent="0.2">
      <c r="B36" s="5"/>
      <c r="C36" s="19"/>
      <c r="D36" s="19"/>
      <c r="E36" s="19"/>
      <c r="F36" s="19"/>
      <c r="G36" s="19"/>
      <c r="H36" s="19"/>
      <c r="I36" s="19"/>
      <c r="J36" s="19"/>
      <c r="K36" s="19"/>
      <c r="L36" s="340"/>
      <c r="M36" s="341"/>
      <c r="N36" s="342"/>
      <c r="O36" s="410"/>
      <c r="P36" s="410"/>
      <c r="Q36" s="410"/>
      <c r="R36" s="410"/>
      <c r="S36" s="410"/>
      <c r="T36" s="410"/>
      <c r="U36" s="410"/>
      <c r="V36" s="410"/>
      <c r="W36" s="347"/>
      <c r="X36" s="343"/>
      <c r="Y36" s="348"/>
      <c r="Z36" s="19"/>
      <c r="AA36" s="19"/>
      <c r="AB36" s="19"/>
      <c r="AC36" s="19"/>
      <c r="AD36" s="19"/>
      <c r="AE36" s="19"/>
      <c r="AF36" s="19"/>
      <c r="AG36" s="19"/>
      <c r="AH36" s="19"/>
      <c r="AI36" s="59"/>
      <c r="AK36" s="20"/>
      <c r="AL36" s="18"/>
      <c r="AM36" s="67"/>
      <c r="AN36" s="68"/>
      <c r="AO36" s="68"/>
      <c r="AP36" s="18"/>
      <c r="AQ36" s="22"/>
      <c r="AR36" s="22"/>
      <c r="AS36" s="22"/>
      <c r="AT36" s="22"/>
      <c r="AU36" s="22"/>
      <c r="AV36" s="258"/>
      <c r="AW36" s="258"/>
      <c r="AX36" s="258"/>
      <c r="AY36" s="258"/>
      <c r="AZ36" s="22"/>
      <c r="BA36" s="22"/>
      <c r="BB36" s="22"/>
      <c r="BC36" s="22"/>
      <c r="BD36" s="22"/>
      <c r="BE36" s="18"/>
      <c r="BF36" s="20"/>
      <c r="BG36" s="20"/>
      <c r="BH36" s="20"/>
      <c r="BI36" s="20"/>
    </row>
    <row r="37" spans="2:61" ht="12.95" customHeight="1" x14ac:dyDescent="0.2">
      <c r="B37" s="5"/>
      <c r="C37" s="19"/>
      <c r="D37" s="19"/>
      <c r="E37" s="19"/>
      <c r="F37" s="19"/>
      <c r="G37" s="19"/>
      <c r="H37" s="19"/>
      <c r="I37" s="19"/>
      <c r="J37" s="19"/>
      <c r="K37" s="19"/>
      <c r="L37" s="340" t="s">
        <v>64</v>
      </c>
      <c r="M37" s="341"/>
      <c r="N37" s="342"/>
      <c r="O37" s="325" t="str">
        <f>SetupOverview!D70</f>
        <v>Ohlins TX 2 way</v>
      </c>
      <c r="P37" s="325"/>
      <c r="Q37" s="325"/>
      <c r="R37" s="325"/>
      <c r="S37" s="325"/>
      <c r="T37" s="325"/>
      <c r="U37" s="325"/>
      <c r="V37" s="325"/>
      <c r="W37" s="7"/>
      <c r="X37" s="7"/>
      <c r="Y37" s="59"/>
      <c r="Z37" s="19"/>
      <c r="AA37" s="19"/>
      <c r="AB37" s="19"/>
      <c r="AC37" s="19"/>
      <c r="AD37" s="19"/>
      <c r="AE37" s="19"/>
      <c r="AF37" s="19"/>
      <c r="AG37" s="19"/>
      <c r="AH37" s="19"/>
      <c r="AI37" s="59"/>
      <c r="AK37" s="20"/>
      <c r="AL37" s="18"/>
      <c r="AM37" s="67"/>
      <c r="AN37" s="68"/>
      <c r="AO37" s="69"/>
      <c r="BC37" s="27"/>
      <c r="BD37" s="27"/>
      <c r="BE37" s="18"/>
      <c r="BF37" s="20"/>
      <c r="BG37" s="20"/>
      <c r="BH37" s="20"/>
      <c r="BI37" s="20"/>
    </row>
    <row r="38" spans="2:61" ht="12.95" customHeight="1" thickBot="1" x14ac:dyDescent="0.25">
      <c r="B38" s="5"/>
      <c r="C38" s="19"/>
      <c r="D38" s="19"/>
      <c r="E38" s="19"/>
      <c r="F38" s="19"/>
      <c r="G38" s="19"/>
      <c r="H38" s="19"/>
      <c r="I38" s="19"/>
      <c r="J38" s="19"/>
      <c r="K38" s="19"/>
      <c r="L38" s="263"/>
      <c r="M38" s="264"/>
      <c r="N38" s="264"/>
      <c r="O38" s="297"/>
      <c r="P38" s="297"/>
      <c r="Q38" s="297"/>
      <c r="R38" s="297"/>
      <c r="S38" s="297"/>
      <c r="T38" s="297"/>
      <c r="U38" s="297"/>
      <c r="V38" s="297"/>
      <c r="W38" s="265"/>
      <c r="X38" s="265"/>
      <c r="Y38" s="60"/>
      <c r="Z38" s="19"/>
      <c r="AA38" s="19"/>
      <c r="AB38" s="19"/>
      <c r="AC38" s="19"/>
      <c r="AD38" s="19"/>
      <c r="AE38" s="19"/>
      <c r="AF38" s="19"/>
      <c r="AG38" s="19"/>
      <c r="AH38" s="19"/>
      <c r="AI38" s="66"/>
      <c r="AJ38" s="20"/>
      <c r="AK38" s="20"/>
      <c r="AL38" s="18"/>
      <c r="AM38" s="18"/>
      <c r="AN38" s="18"/>
      <c r="AY38" s="18"/>
      <c r="AZ38" s="18"/>
      <c r="BA38" s="18"/>
      <c r="BB38" s="22"/>
      <c r="BC38" s="409"/>
      <c r="BD38" s="409"/>
      <c r="BE38" s="18"/>
      <c r="BF38" s="20"/>
      <c r="BG38" s="20"/>
      <c r="BH38" s="20"/>
      <c r="BI38" s="20"/>
    </row>
    <row r="39" spans="2:61" ht="12.95" customHeight="1" thickTop="1" thickBot="1" x14ac:dyDescent="0.25">
      <c r="B39" s="5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66"/>
      <c r="AJ39" s="20"/>
      <c r="AK39" s="20"/>
      <c r="AL39" s="18"/>
      <c r="AM39" s="18"/>
      <c r="AN39" s="18"/>
      <c r="AY39" s="29"/>
      <c r="AZ39" s="259"/>
      <c r="BA39" s="22"/>
      <c r="BB39" s="22"/>
      <c r="BC39" s="409"/>
      <c r="BD39" s="409"/>
      <c r="BE39" s="18"/>
      <c r="BF39" s="20"/>
      <c r="BG39" s="20"/>
      <c r="BH39" s="20"/>
      <c r="BI39" s="20"/>
    </row>
    <row r="40" spans="2:61" ht="12.95" customHeight="1" x14ac:dyDescent="0.2">
      <c r="B40" s="5"/>
      <c r="C40" s="19"/>
      <c r="D40" s="19"/>
      <c r="E40" s="19"/>
      <c r="F40" s="19"/>
      <c r="G40" s="19"/>
      <c r="H40" s="19"/>
      <c r="I40" s="19"/>
      <c r="J40" s="19"/>
      <c r="K40" s="19"/>
      <c r="L40" s="424" t="s">
        <v>41</v>
      </c>
      <c r="M40" s="425"/>
      <c r="N40" s="425"/>
      <c r="O40" s="425"/>
      <c r="P40" s="425"/>
      <c r="Q40" s="425"/>
      <c r="R40" s="425"/>
      <c r="S40" s="425"/>
      <c r="T40" s="425"/>
      <c r="U40" s="425"/>
      <c r="V40" s="425"/>
      <c r="W40" s="425"/>
      <c r="X40" s="425"/>
      <c r="Y40" s="426"/>
      <c r="Z40" s="19"/>
      <c r="AA40" s="19"/>
      <c r="AB40" s="19"/>
      <c r="AC40" s="19"/>
      <c r="AD40" s="19"/>
      <c r="AE40" s="19"/>
      <c r="AF40" s="19"/>
      <c r="AG40" s="19"/>
      <c r="AH40" s="19"/>
      <c r="AI40" s="66"/>
      <c r="AJ40" s="20"/>
      <c r="AK40" s="20"/>
      <c r="AL40" s="18"/>
      <c r="AM40" s="18"/>
      <c r="AN40" s="18"/>
      <c r="AY40" s="258"/>
      <c r="AZ40" s="258"/>
      <c r="BA40" s="22"/>
      <c r="BB40" s="22"/>
      <c r="BC40" s="18"/>
      <c r="BD40" s="18"/>
      <c r="BE40" s="18"/>
      <c r="BF40" s="20"/>
      <c r="BG40" s="20"/>
      <c r="BH40" s="20"/>
      <c r="BI40" s="20"/>
    </row>
    <row r="41" spans="2:61" ht="12.95" customHeight="1" x14ac:dyDescent="0.2">
      <c r="B41" s="5"/>
      <c r="C41" s="19"/>
      <c r="D41" s="19"/>
      <c r="E41" s="19"/>
      <c r="F41" s="19"/>
      <c r="G41" s="19"/>
      <c r="H41" s="19"/>
      <c r="I41" s="19"/>
      <c r="J41" s="19"/>
      <c r="K41" s="19"/>
      <c r="L41" s="427" t="s">
        <v>11</v>
      </c>
      <c r="M41" s="331"/>
      <c r="N41" s="428"/>
      <c r="O41" s="317" t="str">
        <f>SetupOverview!D74</f>
        <v>standard</v>
      </c>
      <c r="P41" s="318"/>
      <c r="Q41" s="318"/>
      <c r="R41" s="318"/>
      <c r="S41" s="318"/>
      <c r="T41" s="318"/>
      <c r="U41" s="318"/>
      <c r="V41" s="319"/>
      <c r="W41" s="44"/>
      <c r="X41" s="9"/>
      <c r="Y41" s="59"/>
      <c r="Z41" s="19"/>
      <c r="AA41" s="19"/>
      <c r="AB41" s="19"/>
      <c r="AC41" s="19"/>
      <c r="AD41" s="19"/>
      <c r="AE41" s="19"/>
      <c r="AF41" s="19"/>
      <c r="AG41" s="19"/>
      <c r="AH41" s="19"/>
      <c r="AI41" s="66"/>
      <c r="AJ41" s="20"/>
      <c r="AK41" s="20"/>
      <c r="AL41" s="18"/>
      <c r="AM41" s="18"/>
      <c r="AN41" s="18"/>
      <c r="AY41" s="29"/>
      <c r="AZ41" s="29"/>
      <c r="BA41" s="30"/>
      <c r="BB41" s="256"/>
      <c r="BC41" s="7"/>
      <c r="BD41" s="32"/>
      <c r="BE41" s="33"/>
      <c r="BF41" s="20"/>
      <c r="BG41" s="20"/>
      <c r="BH41" s="20"/>
      <c r="BI41" s="20"/>
    </row>
    <row r="42" spans="2:61" ht="12.95" customHeight="1" x14ac:dyDescent="0.2">
      <c r="B42" s="5"/>
      <c r="C42" s="19"/>
      <c r="D42" s="19"/>
      <c r="E42" s="19"/>
      <c r="F42" s="19"/>
      <c r="G42" s="19"/>
      <c r="H42" s="19"/>
      <c r="I42" s="19"/>
      <c r="J42" s="19"/>
      <c r="K42" s="19"/>
      <c r="L42" s="340" t="s">
        <v>15</v>
      </c>
      <c r="M42" s="341"/>
      <c r="N42" s="342"/>
      <c r="O42" s="317" t="str">
        <f>SetupOverview!D75</f>
        <v>20mm (200 Nm/rad)</v>
      </c>
      <c r="P42" s="318"/>
      <c r="Q42" s="318"/>
      <c r="R42" s="318"/>
      <c r="S42" s="318"/>
      <c r="T42" s="318"/>
      <c r="U42" s="318"/>
      <c r="V42" s="319"/>
      <c r="W42" s="347"/>
      <c r="X42" s="343"/>
      <c r="Y42" s="348"/>
      <c r="Z42" s="19"/>
      <c r="AA42" s="19"/>
      <c r="AB42" s="19"/>
      <c r="AC42" s="19"/>
      <c r="AD42" s="19"/>
      <c r="AE42" s="19"/>
      <c r="AF42" s="19"/>
      <c r="AG42" s="19"/>
      <c r="AH42" s="19"/>
      <c r="AI42" s="59"/>
      <c r="AK42" s="20"/>
      <c r="AL42" s="18"/>
      <c r="AM42" s="18"/>
      <c r="AN42" s="18"/>
      <c r="AY42" s="22"/>
      <c r="AZ42" s="18"/>
      <c r="BA42" s="58"/>
      <c r="BB42" s="58"/>
      <c r="BC42" s="18"/>
      <c r="BD42" s="18"/>
      <c r="BE42" s="32"/>
      <c r="BF42" s="20"/>
      <c r="BG42" s="20"/>
      <c r="BH42" s="20"/>
      <c r="BI42" s="20"/>
    </row>
    <row r="43" spans="2:61" ht="12.95" customHeight="1" x14ac:dyDescent="0.2">
      <c r="B43" s="35"/>
      <c r="C43" s="19"/>
      <c r="D43" s="19"/>
      <c r="E43" s="19"/>
      <c r="F43" s="19"/>
      <c r="G43" s="19"/>
      <c r="H43" s="19"/>
      <c r="I43" s="19"/>
      <c r="J43" s="19"/>
      <c r="K43" s="19"/>
      <c r="L43" s="340" t="s">
        <v>39</v>
      </c>
      <c r="M43" s="341"/>
      <c r="N43" s="342"/>
      <c r="O43" s="411">
        <f>SetupOverview!D77</f>
        <v>1050</v>
      </c>
      <c r="P43" s="412"/>
      <c r="Q43" s="412"/>
      <c r="R43" s="412"/>
      <c r="S43" s="412"/>
      <c r="T43" s="412"/>
      <c r="U43" s="412"/>
      <c r="V43" s="413"/>
      <c r="W43" s="414"/>
      <c r="X43" s="415"/>
      <c r="Y43" s="416"/>
      <c r="Z43" s="19"/>
      <c r="AA43" s="19"/>
      <c r="AB43" s="19"/>
      <c r="AC43" s="19"/>
      <c r="AD43" s="19"/>
      <c r="AE43" s="19"/>
      <c r="AF43" s="19"/>
      <c r="AG43" s="19"/>
      <c r="AH43" s="19"/>
      <c r="AI43" s="59"/>
      <c r="AJ43" s="36"/>
      <c r="AL43" s="18"/>
      <c r="AM43" s="18"/>
      <c r="AN43" s="18"/>
      <c r="AY43" s="258"/>
      <c r="AZ43" s="18"/>
      <c r="BA43" s="58"/>
      <c r="BB43" s="58"/>
      <c r="BC43" s="18"/>
      <c r="BD43" s="18"/>
      <c r="BE43" s="32"/>
      <c r="BF43" s="20"/>
      <c r="BG43" s="20"/>
      <c r="BH43" s="20"/>
      <c r="BI43" s="20"/>
    </row>
    <row r="44" spans="2:61" ht="12.95" customHeight="1" x14ac:dyDescent="0.2">
      <c r="B44" s="35"/>
      <c r="C44" s="19"/>
      <c r="D44" s="19"/>
      <c r="E44" s="19"/>
      <c r="F44" s="19"/>
      <c r="G44" s="19"/>
      <c r="H44" s="19"/>
      <c r="I44" s="19"/>
      <c r="J44" s="19"/>
      <c r="K44" s="19"/>
      <c r="L44" s="340" t="s">
        <v>398</v>
      </c>
      <c r="M44" s="341"/>
      <c r="N44" s="342"/>
      <c r="O44" s="410">
        <f>IF(SetupOverview!D79="","",SetupOverview!D79)</f>
        <v>98</v>
      </c>
      <c r="P44" s="410"/>
      <c r="Q44" s="410"/>
      <c r="R44" s="410"/>
      <c r="S44" s="410">
        <f>IF(SetupOverview!D80="","",SetupOverview!D80)</f>
        <v>98</v>
      </c>
      <c r="T44" s="410"/>
      <c r="U44" s="410"/>
      <c r="V44" s="410"/>
      <c r="W44" s="417" t="s">
        <v>399</v>
      </c>
      <c r="X44" s="418"/>
      <c r="Y44" s="419"/>
      <c r="Z44" s="19"/>
      <c r="AA44" s="19"/>
      <c r="AB44" s="19"/>
      <c r="AC44" s="19"/>
      <c r="AD44" s="19"/>
      <c r="AE44" s="19"/>
      <c r="AF44" s="19"/>
      <c r="AG44" s="19"/>
      <c r="AH44" s="19"/>
      <c r="AI44" s="59"/>
      <c r="AJ44" s="36"/>
      <c r="AL44" s="18"/>
      <c r="AM44" s="18"/>
      <c r="AN44" s="18"/>
      <c r="AY44" s="258"/>
      <c r="AZ44" s="18"/>
      <c r="BA44" s="58"/>
      <c r="BB44" s="58"/>
      <c r="BC44" s="18"/>
      <c r="BD44" s="18"/>
      <c r="BE44" s="32"/>
      <c r="BF44" s="20"/>
      <c r="BG44" s="20"/>
      <c r="BH44" s="20"/>
      <c r="BI44" s="20"/>
    </row>
    <row r="45" spans="2:61" ht="12.95" customHeight="1" x14ac:dyDescent="0.2">
      <c r="B45" s="35"/>
      <c r="C45" s="19"/>
      <c r="D45" s="19"/>
      <c r="E45" s="19"/>
      <c r="F45" s="19"/>
      <c r="G45" s="19"/>
      <c r="H45" s="19"/>
      <c r="I45" s="19"/>
      <c r="J45" s="19"/>
      <c r="K45" s="19"/>
      <c r="L45" s="420" t="s">
        <v>373</v>
      </c>
      <c r="M45" s="341"/>
      <c r="N45" s="342"/>
      <c r="O45" s="410"/>
      <c r="P45" s="410"/>
      <c r="Q45" s="410"/>
      <c r="R45" s="410"/>
      <c r="S45" s="410"/>
      <c r="T45" s="410"/>
      <c r="U45" s="410"/>
      <c r="V45" s="410"/>
      <c r="W45" s="421" t="s">
        <v>373</v>
      </c>
      <c r="X45" s="422"/>
      <c r="Y45" s="423"/>
      <c r="Z45" s="19"/>
      <c r="AA45" s="19"/>
      <c r="AB45" s="19"/>
      <c r="AC45" s="19"/>
      <c r="AD45" s="19"/>
      <c r="AE45" s="19"/>
      <c r="AF45" s="19"/>
      <c r="AG45" s="19"/>
      <c r="AH45" s="19"/>
      <c r="AI45" s="59"/>
      <c r="AJ45" s="36"/>
      <c r="AL45" s="18"/>
      <c r="AM45" s="18"/>
      <c r="AN45" s="18"/>
      <c r="AO45" s="18"/>
      <c r="AP45" s="32"/>
      <c r="AQ45" s="58"/>
      <c r="AR45" s="58"/>
      <c r="AS45" s="18"/>
      <c r="AT45" s="28"/>
      <c r="AU45" s="28"/>
      <c r="AV45" s="408"/>
      <c r="AW45" s="408"/>
      <c r="AX45" s="408"/>
      <c r="AY45" s="409"/>
      <c r="AZ45" s="37"/>
      <c r="BA45" s="58"/>
      <c r="BB45" s="58"/>
      <c r="BC45" s="18"/>
      <c r="BD45" s="18"/>
      <c r="BE45" s="32"/>
      <c r="BF45" s="20"/>
      <c r="BG45" s="20"/>
      <c r="BH45" s="20"/>
      <c r="BI45" s="20"/>
    </row>
    <row r="46" spans="2:61" ht="12.95" customHeight="1" x14ac:dyDescent="0.2">
      <c r="B46" s="35"/>
      <c r="C46" s="19"/>
      <c r="D46" s="19"/>
      <c r="E46" s="19"/>
      <c r="F46" s="19"/>
      <c r="G46" s="19"/>
      <c r="H46" s="19"/>
      <c r="I46" s="19"/>
      <c r="J46" s="19"/>
      <c r="K46" s="19"/>
      <c r="L46" s="340" t="s">
        <v>40</v>
      </c>
      <c r="M46" s="341"/>
      <c r="N46" s="342"/>
      <c r="O46" s="317" t="str">
        <f>SetupOverview!D81</f>
        <v>2x01119S-61 Med</v>
      </c>
      <c r="P46" s="318"/>
      <c r="Q46" s="318"/>
      <c r="R46" s="318"/>
      <c r="S46" s="318"/>
      <c r="T46" s="318"/>
      <c r="U46" s="318"/>
      <c r="V46" s="319"/>
      <c r="W46" s="347" t="s">
        <v>38</v>
      </c>
      <c r="X46" s="343"/>
      <c r="Y46" s="348"/>
      <c r="Z46" s="19"/>
      <c r="AA46" s="19"/>
      <c r="AB46" s="19"/>
      <c r="AC46" s="19"/>
      <c r="AD46" s="19"/>
      <c r="AE46" s="19"/>
      <c r="AF46" s="19"/>
      <c r="AG46" s="19"/>
      <c r="AH46" s="19"/>
      <c r="AI46" s="59"/>
      <c r="AJ46" s="36"/>
      <c r="AL46" s="18"/>
      <c r="AM46" s="18"/>
      <c r="AN46" s="18"/>
      <c r="AO46" s="18"/>
      <c r="AP46" s="32"/>
      <c r="AQ46" s="58"/>
      <c r="AR46" s="58"/>
      <c r="AS46" s="18"/>
      <c r="AT46" s="28"/>
      <c r="AU46" s="28"/>
      <c r="AV46" s="408"/>
      <c r="AW46" s="408"/>
      <c r="AX46" s="408"/>
      <c r="AY46" s="409"/>
      <c r="AZ46" s="37"/>
      <c r="BA46" s="58"/>
      <c r="BB46" s="58"/>
      <c r="BC46" s="18"/>
      <c r="BD46" s="18"/>
      <c r="BE46" s="32"/>
      <c r="BF46" s="20"/>
      <c r="BG46" s="20"/>
      <c r="BH46" s="20"/>
      <c r="BI46" s="20"/>
    </row>
    <row r="47" spans="2:61" ht="12.95" customHeight="1" x14ac:dyDescent="0.2">
      <c r="B47" s="35"/>
      <c r="C47" s="19"/>
      <c r="D47" s="19"/>
      <c r="E47" s="19"/>
      <c r="F47" s="19"/>
      <c r="G47" s="19"/>
      <c r="H47" s="19"/>
      <c r="I47" s="19"/>
      <c r="J47" s="19"/>
      <c r="K47" s="19"/>
      <c r="L47" s="340" t="s">
        <v>392</v>
      </c>
      <c r="M47" s="341"/>
      <c r="N47" s="342"/>
      <c r="O47" s="410" t="str">
        <f>IF(SetupOverview!D82="","",SetupOverview!D82)</f>
        <v/>
      </c>
      <c r="P47" s="410"/>
      <c r="Q47" s="410"/>
      <c r="R47" s="410"/>
      <c r="S47" s="410" t="str">
        <f>IF(SetupOverview!D83="","",SetupOverview!D83)</f>
        <v/>
      </c>
      <c r="T47" s="410"/>
      <c r="U47" s="410"/>
      <c r="V47" s="410"/>
      <c r="W47" s="347" t="s">
        <v>394</v>
      </c>
      <c r="X47" s="343"/>
      <c r="Y47" s="348"/>
      <c r="Z47" s="19"/>
      <c r="AA47" s="19"/>
      <c r="AB47" s="19"/>
      <c r="AC47" s="19"/>
      <c r="AD47" s="19"/>
      <c r="AE47" s="19"/>
      <c r="AF47" s="19"/>
      <c r="AG47" s="19"/>
      <c r="AH47" s="19"/>
      <c r="AI47" s="59"/>
      <c r="AJ47" s="36"/>
      <c r="AL47" s="18"/>
      <c r="AM47" s="18"/>
      <c r="AN47" s="18"/>
      <c r="AO47" s="18"/>
      <c r="AP47" s="32"/>
      <c r="AQ47" s="58"/>
      <c r="AR47" s="58"/>
      <c r="AS47" s="18"/>
      <c r="AT47" s="28"/>
      <c r="AU47" s="28"/>
      <c r="AV47" s="258"/>
      <c r="AW47" s="258"/>
      <c r="AX47" s="258"/>
      <c r="AY47" s="259"/>
      <c r="AZ47" s="37"/>
      <c r="BA47" s="58"/>
      <c r="BB47" s="58"/>
      <c r="BC47" s="18"/>
      <c r="BD47" s="18"/>
      <c r="BE47" s="32"/>
      <c r="BF47" s="20"/>
      <c r="BG47" s="20"/>
      <c r="BH47" s="20"/>
      <c r="BI47" s="20"/>
    </row>
    <row r="48" spans="2:61" ht="12.95" customHeight="1" x14ac:dyDescent="0.2">
      <c r="B48" s="35"/>
      <c r="C48" s="19"/>
      <c r="D48" s="19"/>
      <c r="E48" s="19"/>
      <c r="F48" s="19"/>
      <c r="G48" s="19"/>
      <c r="H48" s="19"/>
      <c r="I48" s="19"/>
      <c r="J48" s="19"/>
      <c r="K48" s="19"/>
      <c r="L48" s="340"/>
      <c r="M48" s="341"/>
      <c r="N48" s="342"/>
      <c r="O48" s="410"/>
      <c r="P48" s="410"/>
      <c r="Q48" s="410"/>
      <c r="R48" s="410"/>
      <c r="S48" s="410"/>
      <c r="T48" s="410"/>
      <c r="U48" s="410"/>
      <c r="V48" s="410"/>
      <c r="W48" s="347"/>
      <c r="X48" s="343"/>
      <c r="Y48" s="348"/>
      <c r="Z48" s="19"/>
      <c r="AA48" s="19"/>
      <c r="AB48" s="19"/>
      <c r="AC48" s="19"/>
      <c r="AD48" s="19"/>
      <c r="AE48" s="19"/>
      <c r="AF48" s="19"/>
      <c r="AG48" s="19"/>
      <c r="AH48" s="19"/>
      <c r="AI48" s="59"/>
      <c r="AJ48" s="36"/>
      <c r="AL48" s="18"/>
      <c r="AM48" s="18"/>
      <c r="AN48" s="18"/>
      <c r="AO48" s="18"/>
      <c r="AP48" s="32"/>
      <c r="AQ48" s="58"/>
      <c r="AR48" s="58"/>
      <c r="AS48" s="18"/>
      <c r="AT48" s="28"/>
      <c r="AU48" s="28"/>
      <c r="AV48" s="258"/>
      <c r="AW48" s="258"/>
      <c r="AX48" s="258"/>
      <c r="AY48" s="259"/>
      <c r="AZ48" s="37"/>
      <c r="BA48" s="58"/>
      <c r="BB48" s="58"/>
      <c r="BC48" s="18"/>
      <c r="BD48" s="18"/>
      <c r="BE48" s="32"/>
      <c r="BF48" s="20"/>
      <c r="BG48" s="20"/>
      <c r="BH48" s="20"/>
      <c r="BI48" s="20"/>
    </row>
    <row r="49" spans="2:61" ht="12.95" customHeight="1" x14ac:dyDescent="0.2">
      <c r="B49" s="35"/>
      <c r="C49" s="19"/>
      <c r="D49" s="19"/>
      <c r="E49" s="19"/>
      <c r="F49" s="19"/>
      <c r="G49" s="19"/>
      <c r="H49" s="19"/>
      <c r="I49" s="19"/>
      <c r="J49" s="19"/>
      <c r="K49" s="19"/>
      <c r="L49" s="340" t="s">
        <v>393</v>
      </c>
      <c r="M49" s="341"/>
      <c r="N49" s="342"/>
      <c r="O49" s="410" t="str">
        <f>IF(SetupOverview!D84="","",SetupOverview!D84)</f>
        <v/>
      </c>
      <c r="P49" s="410"/>
      <c r="Q49" s="410"/>
      <c r="R49" s="410"/>
      <c r="S49" s="410" t="str">
        <f>IF(SetupOverview!D85="","",SetupOverview!D85)</f>
        <v/>
      </c>
      <c r="T49" s="410"/>
      <c r="U49" s="410"/>
      <c r="V49" s="410"/>
      <c r="W49" s="347" t="s">
        <v>395</v>
      </c>
      <c r="X49" s="343"/>
      <c r="Y49" s="348"/>
      <c r="Z49" s="19"/>
      <c r="AA49" s="19"/>
      <c r="AB49" s="19"/>
      <c r="AC49" s="19"/>
      <c r="AD49" s="19"/>
      <c r="AE49" s="19"/>
      <c r="AF49" s="19"/>
      <c r="AG49" s="19"/>
      <c r="AH49" s="19"/>
      <c r="AI49" s="59"/>
      <c r="AJ49" s="36"/>
      <c r="AL49" s="18"/>
      <c r="AM49" s="18"/>
      <c r="AN49" s="18"/>
      <c r="AO49" s="18"/>
      <c r="AP49" s="32"/>
      <c r="AQ49" s="58"/>
      <c r="AR49" s="58"/>
      <c r="AS49" s="18"/>
      <c r="AT49" s="28"/>
      <c r="AU49" s="28"/>
      <c r="AV49" s="258"/>
      <c r="AW49" s="258"/>
      <c r="AX49" s="258"/>
      <c r="AY49" s="259"/>
      <c r="AZ49" s="37"/>
      <c r="BA49" s="58"/>
      <c r="BB49" s="58"/>
      <c r="BC49" s="18"/>
      <c r="BD49" s="18"/>
      <c r="BE49" s="32"/>
      <c r="BF49" s="20"/>
      <c r="BG49" s="20"/>
      <c r="BH49" s="20"/>
      <c r="BI49" s="20"/>
    </row>
    <row r="50" spans="2:61" ht="12.95" customHeight="1" x14ac:dyDescent="0.2">
      <c r="B50" s="35"/>
      <c r="C50" s="19"/>
      <c r="D50" s="19"/>
      <c r="E50" s="19"/>
      <c r="F50" s="19"/>
      <c r="G50" s="19"/>
      <c r="H50" s="19"/>
      <c r="I50" s="19"/>
      <c r="J50" s="19"/>
      <c r="K50" s="19"/>
      <c r="L50" s="340"/>
      <c r="M50" s="341"/>
      <c r="N50" s="342"/>
      <c r="O50" s="410"/>
      <c r="P50" s="410"/>
      <c r="Q50" s="410"/>
      <c r="R50" s="410"/>
      <c r="S50" s="410"/>
      <c r="T50" s="410"/>
      <c r="U50" s="410"/>
      <c r="V50" s="410"/>
      <c r="W50" s="347"/>
      <c r="X50" s="343"/>
      <c r="Y50" s="348"/>
      <c r="Z50" s="19"/>
      <c r="AA50" s="19"/>
      <c r="AB50" s="19"/>
      <c r="AC50" s="19"/>
      <c r="AD50" s="19"/>
      <c r="AE50" s="19"/>
      <c r="AF50" s="19"/>
      <c r="AG50" s="19"/>
      <c r="AH50" s="19"/>
      <c r="AI50" s="59"/>
      <c r="AJ50" s="36"/>
      <c r="AL50" s="18"/>
      <c r="AM50" s="18"/>
      <c r="AN50" s="18"/>
      <c r="AO50" s="18"/>
      <c r="AP50" s="32"/>
      <c r="AQ50" s="58"/>
      <c r="AR50" s="58"/>
      <c r="AS50" s="18"/>
      <c r="AT50" s="28"/>
      <c r="AU50" s="28"/>
      <c r="AV50" s="258"/>
      <c r="AW50" s="258"/>
      <c r="AX50" s="258"/>
      <c r="AY50" s="259"/>
      <c r="AZ50" s="37"/>
      <c r="BA50" s="58"/>
      <c r="BB50" s="58"/>
      <c r="BC50" s="18"/>
      <c r="BD50" s="18"/>
      <c r="BE50" s="32"/>
      <c r="BF50" s="20"/>
      <c r="BG50" s="20"/>
      <c r="BH50" s="20"/>
      <c r="BI50" s="20"/>
    </row>
    <row r="51" spans="2:61" ht="12.95" customHeight="1" x14ac:dyDescent="0.2">
      <c r="B51" s="35"/>
      <c r="C51" s="19"/>
      <c r="D51" s="19"/>
      <c r="E51" s="19"/>
      <c r="F51" s="19"/>
      <c r="G51" s="19"/>
      <c r="H51" s="19"/>
      <c r="I51" s="19"/>
      <c r="J51" s="19"/>
      <c r="K51" s="19"/>
      <c r="L51" s="340" t="s">
        <v>64</v>
      </c>
      <c r="M51" s="341"/>
      <c r="N51" s="342"/>
      <c r="O51" s="325" t="str">
        <f>SetupOverview!D86</f>
        <v>Ohlins TX 2 way</v>
      </c>
      <c r="P51" s="325"/>
      <c r="Q51" s="325"/>
      <c r="R51" s="325"/>
      <c r="S51" s="325"/>
      <c r="T51" s="325"/>
      <c r="U51" s="325"/>
      <c r="V51" s="325"/>
      <c r="W51" s="7"/>
      <c r="X51" s="7"/>
      <c r="Y51" s="59"/>
      <c r="Z51" s="19"/>
      <c r="AA51" s="19"/>
      <c r="AB51" s="19"/>
      <c r="AC51" s="19"/>
      <c r="AD51" s="19"/>
      <c r="AE51" s="19"/>
      <c r="AF51" s="19"/>
      <c r="AG51" s="19"/>
      <c r="AH51" s="19"/>
      <c r="AI51" s="59"/>
      <c r="AJ51" s="36"/>
      <c r="AL51" s="18"/>
      <c r="AM51" s="18"/>
      <c r="AN51" s="18"/>
      <c r="AO51" s="18"/>
      <c r="AP51" s="32"/>
      <c r="AQ51" s="58"/>
      <c r="AR51" s="58"/>
      <c r="AS51" s="18"/>
      <c r="AT51" s="28"/>
      <c r="AU51" s="28"/>
      <c r="AV51" s="408"/>
      <c r="AW51" s="408"/>
      <c r="AX51" s="408"/>
      <c r="AY51" s="409"/>
      <c r="AZ51" s="37"/>
      <c r="BA51" s="58"/>
      <c r="BB51" s="58"/>
      <c r="BC51" s="18"/>
      <c r="BD51" s="18"/>
      <c r="BE51" s="32"/>
      <c r="BF51" s="20"/>
      <c r="BG51" s="20"/>
      <c r="BH51" s="20"/>
      <c r="BI51" s="20"/>
    </row>
    <row r="52" spans="2:61" ht="13.5" thickBot="1" x14ac:dyDescent="0.25">
      <c r="B52" s="35"/>
      <c r="C52" s="7"/>
      <c r="D52" s="18"/>
      <c r="E52" s="18"/>
      <c r="F52" s="18"/>
      <c r="G52" s="18"/>
      <c r="H52" s="6"/>
      <c r="I52" s="6"/>
      <c r="J52" s="6"/>
      <c r="K52" s="6"/>
      <c r="L52" s="404"/>
      <c r="M52" s="405"/>
      <c r="N52" s="405"/>
      <c r="O52" s="406"/>
      <c r="P52" s="406"/>
      <c r="Q52" s="406"/>
      <c r="R52" s="406"/>
      <c r="S52" s="406"/>
      <c r="T52" s="406"/>
      <c r="U52" s="406"/>
      <c r="V52" s="406"/>
      <c r="W52" s="407"/>
      <c r="X52" s="407"/>
      <c r="Y52" s="60"/>
      <c r="Z52" s="9"/>
      <c r="AA52" s="9"/>
      <c r="AB52" s="9"/>
      <c r="AC52" s="9"/>
      <c r="AD52" s="6"/>
      <c r="AE52" s="18"/>
      <c r="AF52" s="18"/>
      <c r="AG52" s="18"/>
      <c r="AH52" s="7"/>
      <c r="AI52" s="59"/>
      <c r="AJ52" s="36"/>
    </row>
    <row r="53" spans="2:61" ht="14.25" thickTop="1" thickBot="1" x14ac:dyDescent="0.25">
      <c r="B53" s="35"/>
      <c r="C53" s="7"/>
      <c r="D53" s="7"/>
      <c r="E53" s="7"/>
      <c r="F53" s="7"/>
      <c r="G53" s="7"/>
      <c r="H53" s="6"/>
      <c r="I53" s="9"/>
      <c r="J53" s="9"/>
      <c r="K53" s="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9"/>
      <c r="AA53" s="9"/>
      <c r="AB53" s="9"/>
      <c r="AC53" s="9"/>
      <c r="AD53" s="6"/>
      <c r="AE53" s="18"/>
      <c r="AF53" s="18"/>
      <c r="AG53" s="18"/>
      <c r="AH53" s="7"/>
      <c r="AI53" s="59"/>
      <c r="AJ53" s="36"/>
    </row>
    <row r="54" spans="2:61" x14ac:dyDescent="0.2">
      <c r="B54" s="35"/>
      <c r="C54" s="400" t="s">
        <v>22</v>
      </c>
      <c r="D54" s="401"/>
      <c r="E54" s="401"/>
      <c r="F54" s="298"/>
      <c r="G54" s="298"/>
      <c r="H54" s="299"/>
      <c r="I54" s="299"/>
      <c r="J54" s="299"/>
      <c r="K54" s="300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308"/>
      <c r="AA54" s="309"/>
      <c r="AB54" s="309"/>
      <c r="AC54" s="309"/>
      <c r="AD54" s="310"/>
      <c r="AE54" s="310"/>
      <c r="AF54" s="326" t="s">
        <v>16</v>
      </c>
      <c r="AG54" s="326"/>
      <c r="AH54" s="327"/>
      <c r="AI54" s="59"/>
      <c r="AJ54" s="36"/>
    </row>
    <row r="55" spans="2:61" x14ac:dyDescent="0.2">
      <c r="B55" s="35"/>
      <c r="C55" s="402"/>
      <c r="D55" s="403"/>
      <c r="E55" s="403"/>
      <c r="F55" s="330" t="s">
        <v>497</v>
      </c>
      <c r="G55" s="330"/>
      <c r="H55" s="330"/>
      <c r="I55" s="330"/>
      <c r="J55" s="398" t="s">
        <v>35</v>
      </c>
      <c r="K55" s="351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399" t="s">
        <v>35</v>
      </c>
      <c r="AA55" s="398"/>
      <c r="AB55" s="330" t="str">
        <f>F55</f>
        <v>Exposed thread (mm)</v>
      </c>
      <c r="AC55" s="330"/>
      <c r="AD55" s="330"/>
      <c r="AE55" s="330"/>
      <c r="AF55" s="328"/>
      <c r="AG55" s="328"/>
      <c r="AH55" s="329"/>
      <c r="AI55" s="59"/>
      <c r="AJ55" s="36"/>
    </row>
    <row r="56" spans="2:61" ht="9.6" customHeight="1" x14ac:dyDescent="0.2">
      <c r="B56" s="35"/>
      <c r="C56" s="349" t="s">
        <v>26</v>
      </c>
      <c r="D56" s="314"/>
      <c r="E56" s="314"/>
      <c r="F56" s="159"/>
      <c r="G56" s="159"/>
      <c r="H56" s="159"/>
      <c r="I56" s="159"/>
      <c r="J56" s="332">
        <f>IF(SetupOverview!D50="","",SetupOverview!D50)</f>
        <v>5</v>
      </c>
      <c r="K56" s="333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336">
        <f>IF(SetupOverview!D51="","",SetupOverview!D51)</f>
        <v>5</v>
      </c>
      <c r="AA56" s="337"/>
      <c r="AB56" s="292"/>
      <c r="AC56" s="293"/>
      <c r="AD56" s="294"/>
      <c r="AE56" s="295"/>
      <c r="AF56" s="314" t="s">
        <v>25</v>
      </c>
      <c r="AG56" s="314"/>
      <c r="AH56" s="315"/>
      <c r="AI56" s="255"/>
      <c r="AJ56" s="36"/>
    </row>
    <row r="57" spans="2:61" ht="20.100000000000001" customHeight="1" x14ac:dyDescent="0.2">
      <c r="B57" s="35"/>
      <c r="C57" s="349"/>
      <c r="D57" s="314"/>
      <c r="E57" s="314"/>
      <c r="F57" s="159"/>
      <c r="G57" s="159"/>
      <c r="H57" s="159"/>
      <c r="I57" s="159"/>
      <c r="J57" s="334"/>
      <c r="K57" s="335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338"/>
      <c r="AA57" s="339"/>
      <c r="AB57" s="296"/>
      <c r="AC57" s="294"/>
      <c r="AD57" s="294"/>
      <c r="AE57" s="295"/>
      <c r="AF57" s="314"/>
      <c r="AG57" s="314"/>
      <c r="AH57" s="315"/>
      <c r="AI57" s="255"/>
      <c r="AJ57" s="36"/>
    </row>
    <row r="58" spans="2:61" ht="9.6" customHeight="1" x14ac:dyDescent="0.2">
      <c r="B58" s="35"/>
      <c r="C58" s="349" t="s">
        <v>486</v>
      </c>
      <c r="D58" s="314"/>
      <c r="E58" s="314"/>
      <c r="F58" s="320" t="s">
        <v>495</v>
      </c>
      <c r="G58" s="321"/>
      <c r="H58" s="320" t="s">
        <v>492</v>
      </c>
      <c r="I58" s="321"/>
      <c r="J58" s="180"/>
      <c r="K58" s="162"/>
      <c r="L58" s="331"/>
      <c r="M58" s="331"/>
      <c r="N58" s="331"/>
      <c r="O58" s="19"/>
      <c r="P58" s="19"/>
      <c r="Q58" s="19"/>
      <c r="R58" s="19"/>
      <c r="S58" s="19"/>
      <c r="T58" s="19"/>
      <c r="U58" s="19"/>
      <c r="V58" s="19"/>
      <c r="W58" s="46"/>
      <c r="X58" s="44"/>
      <c r="Y58" s="47"/>
      <c r="Z58" s="167"/>
      <c r="AA58" s="163"/>
      <c r="AB58" s="320" t="s">
        <v>492</v>
      </c>
      <c r="AC58" s="321"/>
      <c r="AD58" s="320" t="s">
        <v>495</v>
      </c>
      <c r="AE58" s="321"/>
      <c r="AF58" s="314" t="s">
        <v>486</v>
      </c>
      <c r="AG58" s="314"/>
      <c r="AH58" s="315"/>
      <c r="AI58" s="255"/>
      <c r="AJ58" s="36"/>
    </row>
    <row r="59" spans="2:61" ht="20.100000000000001" customHeight="1" x14ac:dyDescent="0.2">
      <c r="B59" s="35"/>
      <c r="C59" s="349"/>
      <c r="D59" s="314"/>
      <c r="E59" s="314"/>
      <c r="F59" s="322">
        <v>13</v>
      </c>
      <c r="G59" s="323"/>
      <c r="H59" s="322">
        <v>16</v>
      </c>
      <c r="I59" s="323"/>
      <c r="J59" s="350"/>
      <c r="K59" s="351"/>
      <c r="L59" s="331"/>
      <c r="M59" s="331"/>
      <c r="N59" s="331"/>
      <c r="O59" s="19"/>
      <c r="P59" s="19"/>
      <c r="Q59" s="19"/>
      <c r="R59" s="19"/>
      <c r="S59" s="19"/>
      <c r="T59" s="19"/>
      <c r="U59" s="19"/>
      <c r="V59" s="19"/>
      <c r="W59" s="43"/>
      <c r="X59" s="257"/>
      <c r="Y59" s="44"/>
      <c r="Z59" s="168"/>
      <c r="AA59" s="159"/>
      <c r="AB59" s="322">
        <v>16</v>
      </c>
      <c r="AC59" s="323"/>
      <c r="AD59" s="322">
        <v>13</v>
      </c>
      <c r="AE59" s="323"/>
      <c r="AF59" s="314"/>
      <c r="AG59" s="314"/>
      <c r="AH59" s="315"/>
      <c r="AI59" s="255"/>
      <c r="AJ59" s="36"/>
    </row>
    <row r="60" spans="2:61" ht="9.6" customHeight="1" x14ac:dyDescent="0.2">
      <c r="B60" s="35"/>
      <c r="C60" s="349" t="s">
        <v>487</v>
      </c>
      <c r="D60" s="314"/>
      <c r="E60" s="314"/>
      <c r="F60" s="320" t="s">
        <v>494</v>
      </c>
      <c r="G60" s="321"/>
      <c r="H60" s="320" t="s">
        <v>493</v>
      </c>
      <c r="I60" s="321"/>
      <c r="J60" s="350"/>
      <c r="K60" s="351"/>
      <c r="L60" s="331"/>
      <c r="M60" s="331"/>
      <c r="N60" s="331"/>
      <c r="O60" s="19"/>
      <c r="P60" s="19"/>
      <c r="Q60" s="19"/>
      <c r="R60" s="19"/>
      <c r="S60" s="19"/>
      <c r="T60" s="19"/>
      <c r="U60" s="19"/>
      <c r="V60" s="19"/>
      <c r="W60" s="324"/>
      <c r="X60" s="324"/>
      <c r="Y60" s="324"/>
      <c r="Z60" s="167"/>
      <c r="AA60" s="163"/>
      <c r="AB60" s="320" t="s">
        <v>494</v>
      </c>
      <c r="AC60" s="321"/>
      <c r="AD60" s="320" t="s">
        <v>493</v>
      </c>
      <c r="AE60" s="321"/>
      <c r="AF60" s="313" t="s">
        <v>487</v>
      </c>
      <c r="AG60" s="314"/>
      <c r="AH60" s="315"/>
      <c r="AI60" s="255"/>
      <c r="AJ60" s="36"/>
    </row>
    <row r="61" spans="2:61" ht="20.100000000000001" customHeight="1" x14ac:dyDescent="0.2">
      <c r="B61" s="35"/>
      <c r="C61" s="349"/>
      <c r="D61" s="314"/>
      <c r="E61" s="314"/>
      <c r="F61" s="322">
        <v>8</v>
      </c>
      <c r="G61" s="323"/>
      <c r="H61" s="322">
        <v>8</v>
      </c>
      <c r="I61" s="323"/>
      <c r="J61" s="350"/>
      <c r="K61" s="351"/>
      <c r="L61" s="341"/>
      <c r="M61" s="341"/>
      <c r="N61" s="341"/>
      <c r="O61" s="19"/>
      <c r="P61" s="19"/>
      <c r="Q61" s="19"/>
      <c r="R61" s="19"/>
      <c r="S61" s="19"/>
      <c r="T61" s="19"/>
      <c r="U61" s="19"/>
      <c r="V61" s="19"/>
      <c r="W61" s="343"/>
      <c r="X61" s="343"/>
      <c r="Y61" s="343"/>
      <c r="Z61" s="167"/>
      <c r="AA61" s="163"/>
      <c r="AB61" s="322">
        <v>8</v>
      </c>
      <c r="AC61" s="323"/>
      <c r="AD61" s="322">
        <v>8</v>
      </c>
      <c r="AE61" s="323"/>
      <c r="AF61" s="313"/>
      <c r="AG61" s="314"/>
      <c r="AH61" s="315"/>
      <c r="AI61" s="255"/>
      <c r="AJ61" s="36"/>
    </row>
    <row r="62" spans="2:61" ht="9.6" customHeight="1" x14ac:dyDescent="0.2">
      <c r="B62" s="35"/>
      <c r="C62" s="349" t="s">
        <v>488</v>
      </c>
      <c r="D62" s="314"/>
      <c r="E62" s="314"/>
      <c r="F62" s="320" t="s">
        <v>494</v>
      </c>
      <c r="G62" s="321"/>
      <c r="H62" s="320" t="s">
        <v>493</v>
      </c>
      <c r="I62" s="321"/>
      <c r="J62" s="350"/>
      <c r="K62" s="351"/>
      <c r="L62" s="9"/>
      <c r="M62" s="253"/>
      <c r="N62" s="253"/>
      <c r="O62" s="19"/>
      <c r="P62" s="19"/>
      <c r="Q62" s="19"/>
      <c r="R62" s="19"/>
      <c r="S62" s="19"/>
      <c r="T62" s="19"/>
      <c r="U62" s="19"/>
      <c r="V62" s="19"/>
      <c r="W62" s="250"/>
      <c r="X62" s="250"/>
      <c r="Y62" s="9"/>
      <c r="Z62" s="167"/>
      <c r="AA62" s="163"/>
      <c r="AB62" s="320" t="s">
        <v>494</v>
      </c>
      <c r="AC62" s="321"/>
      <c r="AD62" s="320" t="s">
        <v>493</v>
      </c>
      <c r="AE62" s="321"/>
      <c r="AF62" s="313" t="s">
        <v>488</v>
      </c>
      <c r="AG62" s="314"/>
      <c r="AH62" s="315"/>
      <c r="AI62" s="255"/>
      <c r="AJ62" s="36"/>
    </row>
    <row r="63" spans="2:61" ht="20.100000000000001" customHeight="1" x14ac:dyDescent="0.2">
      <c r="B63" s="35"/>
      <c r="C63" s="349"/>
      <c r="D63" s="314"/>
      <c r="E63" s="314"/>
      <c r="F63" s="322">
        <v>14</v>
      </c>
      <c r="G63" s="323"/>
      <c r="H63" s="322">
        <v>8</v>
      </c>
      <c r="I63" s="323"/>
      <c r="J63" s="350"/>
      <c r="K63" s="351"/>
      <c r="L63" s="9"/>
      <c r="M63" s="253"/>
      <c r="N63" s="253"/>
      <c r="O63" s="19"/>
      <c r="P63" s="19"/>
      <c r="Q63" s="19"/>
      <c r="R63" s="19"/>
      <c r="S63" s="19"/>
      <c r="T63" s="19"/>
      <c r="U63" s="19"/>
      <c r="V63" s="19"/>
      <c r="W63" s="250"/>
      <c r="X63" s="250"/>
      <c r="Y63" s="9"/>
      <c r="Z63" s="167"/>
      <c r="AA63" s="163"/>
      <c r="AB63" s="322">
        <v>14</v>
      </c>
      <c r="AC63" s="323"/>
      <c r="AD63" s="322">
        <v>8</v>
      </c>
      <c r="AE63" s="323"/>
      <c r="AF63" s="313"/>
      <c r="AG63" s="314"/>
      <c r="AH63" s="315"/>
      <c r="AI63" s="255"/>
      <c r="AJ63" s="36"/>
    </row>
    <row r="64" spans="2:61" ht="9.6" customHeight="1" x14ac:dyDescent="0.2">
      <c r="B64" s="35"/>
      <c r="C64" s="349" t="s">
        <v>489</v>
      </c>
      <c r="D64" s="314"/>
      <c r="E64" s="314"/>
      <c r="F64" s="287" t="s">
        <v>495</v>
      </c>
      <c r="G64" s="312" t="s">
        <v>496</v>
      </c>
      <c r="H64" s="312"/>
      <c r="I64" s="287" t="s">
        <v>492</v>
      </c>
      <c r="J64" s="159"/>
      <c r="K64" s="160"/>
      <c r="L64" s="9"/>
      <c r="M64" s="253"/>
      <c r="N64" s="253"/>
      <c r="O64" s="250"/>
      <c r="P64" s="250"/>
      <c r="Q64" s="250"/>
      <c r="R64" s="250"/>
      <c r="S64" s="250"/>
      <c r="T64" s="250"/>
      <c r="U64" s="250"/>
      <c r="V64" s="250"/>
      <c r="W64" s="250"/>
      <c r="X64" s="250"/>
      <c r="Y64" s="9"/>
      <c r="Z64" s="167"/>
      <c r="AA64" s="163"/>
      <c r="AB64" s="287" t="s">
        <v>492</v>
      </c>
      <c r="AC64" s="312" t="s">
        <v>496</v>
      </c>
      <c r="AD64" s="312"/>
      <c r="AE64" s="287" t="s">
        <v>495</v>
      </c>
      <c r="AF64" s="313" t="s">
        <v>489</v>
      </c>
      <c r="AG64" s="314"/>
      <c r="AH64" s="315"/>
      <c r="AI64" s="255"/>
      <c r="AJ64" s="36"/>
    </row>
    <row r="65" spans="2:36" ht="20.100000000000001" customHeight="1" x14ac:dyDescent="0.2">
      <c r="B65" s="35"/>
      <c r="C65" s="349"/>
      <c r="D65" s="314"/>
      <c r="E65" s="314"/>
      <c r="F65" s="304">
        <v>12</v>
      </c>
      <c r="G65" s="316">
        <v>6</v>
      </c>
      <c r="H65" s="316"/>
      <c r="I65" s="304">
        <v>6</v>
      </c>
      <c r="J65" s="159"/>
      <c r="K65" s="160"/>
      <c r="L65" s="9"/>
      <c r="M65" s="253"/>
      <c r="N65" s="253"/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9"/>
      <c r="Z65" s="167"/>
      <c r="AA65" s="163"/>
      <c r="AB65" s="304">
        <v>6</v>
      </c>
      <c r="AC65" s="316">
        <v>6</v>
      </c>
      <c r="AD65" s="316"/>
      <c r="AE65" s="304">
        <v>12</v>
      </c>
      <c r="AF65" s="313"/>
      <c r="AG65" s="314"/>
      <c r="AH65" s="315"/>
      <c r="AI65" s="255"/>
      <c r="AJ65" s="36"/>
    </row>
    <row r="66" spans="2:36" ht="14.25" customHeight="1" thickBot="1" x14ac:dyDescent="0.25">
      <c r="B66" s="35"/>
      <c r="C66" s="301"/>
      <c r="D66" s="302"/>
      <c r="E66" s="302"/>
      <c r="F66" s="302"/>
      <c r="G66" s="302"/>
      <c r="H66" s="302"/>
      <c r="I66" s="302"/>
      <c r="J66" s="302"/>
      <c r="K66" s="303"/>
      <c r="L66" s="6"/>
      <c r="M66" s="6"/>
      <c r="N66" s="6"/>
      <c r="O66" s="6"/>
      <c r="P66" s="6"/>
      <c r="Q66" s="251"/>
      <c r="R66" s="251"/>
      <c r="S66" s="251"/>
      <c r="T66" s="251"/>
      <c r="U66" s="251"/>
      <c r="V66" s="251"/>
      <c r="W66" s="6"/>
      <c r="X66" s="6"/>
      <c r="Y66" s="6"/>
      <c r="Z66" s="305"/>
      <c r="AA66" s="306"/>
      <c r="AB66" s="306"/>
      <c r="AC66" s="306"/>
      <c r="AD66" s="306"/>
      <c r="AE66" s="306"/>
      <c r="AF66" s="306"/>
      <c r="AG66" s="306"/>
      <c r="AH66" s="307"/>
      <c r="AI66" s="61"/>
      <c r="AJ66" s="36"/>
    </row>
    <row r="67" spans="2:36" ht="14.25" customHeight="1" thickTop="1" thickBot="1" x14ac:dyDescent="0.25">
      <c r="B67" s="35"/>
      <c r="C67" s="6"/>
      <c r="D67" s="9"/>
      <c r="E67" s="9"/>
      <c r="F67" s="9"/>
      <c r="G67" s="9"/>
      <c r="H67" s="267"/>
      <c r="I67" s="267"/>
      <c r="J67" s="267"/>
      <c r="K67" s="267"/>
      <c r="L67" s="6"/>
      <c r="M67" s="6"/>
      <c r="N67" s="6"/>
      <c r="O67" s="6"/>
      <c r="P67" s="6"/>
      <c r="Q67" s="251"/>
      <c r="R67" s="251"/>
      <c r="S67" s="251"/>
      <c r="T67" s="251"/>
      <c r="U67" s="251"/>
      <c r="V67" s="251"/>
      <c r="W67" s="6"/>
      <c r="X67" s="6"/>
      <c r="Y67" s="6"/>
      <c r="Z67" s="267"/>
      <c r="AA67" s="267"/>
      <c r="AB67" s="267"/>
      <c r="AC67" s="267"/>
      <c r="AD67" s="267"/>
      <c r="AE67" s="9"/>
      <c r="AF67" s="9"/>
      <c r="AG67" s="9"/>
      <c r="AH67" s="9"/>
      <c r="AI67" s="61"/>
      <c r="AJ67" s="36"/>
    </row>
    <row r="68" spans="2:36" ht="14.25" customHeight="1" x14ac:dyDescent="0.2">
      <c r="B68" s="35"/>
      <c r="C68" s="6"/>
      <c r="D68" s="9"/>
      <c r="E68" s="9"/>
      <c r="F68" s="9"/>
      <c r="G68" s="9"/>
      <c r="H68" s="267"/>
      <c r="I68" s="375" t="s">
        <v>482</v>
      </c>
      <c r="J68" s="376"/>
      <c r="K68" s="376"/>
      <c r="L68" s="10"/>
      <c r="M68" s="10"/>
      <c r="N68" s="49"/>
      <c r="O68" s="49"/>
      <c r="P68" s="49"/>
      <c r="Q68" s="49"/>
      <c r="R68" s="49"/>
      <c r="S68" s="49"/>
      <c r="T68" s="49"/>
      <c r="U68" s="49"/>
      <c r="V68" s="49"/>
      <c r="W68" s="2"/>
      <c r="X68" s="2"/>
      <c r="Y68" s="49"/>
      <c r="Z68" s="49"/>
      <c r="AA68" s="2"/>
      <c r="AB68" s="50"/>
      <c r="AC68" s="6"/>
      <c r="AD68" s="267"/>
      <c r="AE68" s="9"/>
      <c r="AF68" s="9"/>
      <c r="AG68" s="9"/>
      <c r="AH68" s="9"/>
      <c r="AI68" s="61"/>
      <c r="AJ68" s="36"/>
    </row>
    <row r="69" spans="2:36" ht="14.25" customHeight="1" x14ac:dyDescent="0.2">
      <c r="B69" s="35"/>
      <c r="C69" s="6"/>
      <c r="D69" s="9"/>
      <c r="E69" s="9"/>
      <c r="F69" s="9"/>
      <c r="G69" s="9"/>
      <c r="H69" s="267"/>
      <c r="I69" s="340" t="s">
        <v>462</v>
      </c>
      <c r="J69" s="341"/>
      <c r="K69" s="342"/>
      <c r="L69" s="387" t="str">
        <f>SetupOverview!D109</f>
        <v>13/16" (20.625mm)</v>
      </c>
      <c r="M69" s="388"/>
      <c r="N69" s="392" t="s">
        <v>467</v>
      </c>
      <c r="O69" s="393"/>
      <c r="P69" s="393"/>
      <c r="Q69" s="393"/>
      <c r="R69" s="394"/>
      <c r="S69" s="387" t="str">
        <f>SetupOverview!D119</f>
        <v>9.3F-7.5R</v>
      </c>
      <c r="T69" s="389"/>
      <c r="U69" s="389"/>
      <c r="V69" s="388"/>
      <c r="W69" s="395" t="s">
        <v>466</v>
      </c>
      <c r="X69" s="396"/>
      <c r="Y69" s="397"/>
      <c r="Z69" s="387">
        <f>SetupOverview!D121</f>
        <v>52.4</v>
      </c>
      <c r="AA69" s="388"/>
      <c r="AB69" s="51"/>
      <c r="AC69" s="41"/>
      <c r="AD69" s="267"/>
      <c r="AE69" s="9"/>
      <c r="AF69" s="9"/>
      <c r="AG69" s="9"/>
      <c r="AH69" s="9"/>
      <c r="AI69" s="61"/>
      <c r="AJ69" s="36"/>
    </row>
    <row r="70" spans="2:36" ht="14.25" customHeight="1" x14ac:dyDescent="0.2">
      <c r="B70" s="35"/>
      <c r="C70" s="6"/>
      <c r="D70" s="9"/>
      <c r="E70" s="9"/>
      <c r="F70" s="9"/>
      <c r="G70" s="9"/>
      <c r="H70" s="267"/>
      <c r="I70" s="340" t="s">
        <v>463</v>
      </c>
      <c r="J70" s="341"/>
      <c r="K70" s="342"/>
      <c r="L70" s="387" t="str">
        <f>SetupOverview!D124</f>
        <v>7/8" (22.225mm)</v>
      </c>
      <c r="M70" s="388"/>
      <c r="N70" s="268"/>
      <c r="O70" s="268"/>
      <c r="P70" s="268"/>
      <c r="Q70" s="268"/>
      <c r="R70" s="268" t="s">
        <v>468</v>
      </c>
      <c r="S70" s="387" t="str">
        <f>SetupOverview!D120</f>
        <v>(Set 1)</v>
      </c>
      <c r="T70" s="389"/>
      <c r="U70" s="389"/>
      <c r="V70" s="388"/>
      <c r="W70" s="268"/>
      <c r="X70" s="268"/>
      <c r="Y70" s="268"/>
      <c r="Z70" s="268"/>
      <c r="AA70" s="268"/>
      <c r="AB70" s="51"/>
      <c r="AC70" s="41"/>
      <c r="AD70" s="267"/>
      <c r="AE70" s="9"/>
      <c r="AF70" s="9"/>
      <c r="AG70" s="9"/>
      <c r="AH70" s="9"/>
      <c r="AI70" s="61"/>
      <c r="AJ70" s="36"/>
    </row>
    <row r="71" spans="2:36" ht="14.25" customHeight="1" thickBot="1" x14ac:dyDescent="0.25">
      <c r="B71" s="35"/>
      <c r="C71" s="6"/>
      <c r="D71" s="9"/>
      <c r="E71" s="9"/>
      <c r="F71" s="9"/>
      <c r="G71" s="9"/>
      <c r="H71" s="267"/>
      <c r="I71" s="373"/>
      <c r="J71" s="374"/>
      <c r="K71" s="374"/>
      <c r="L71" s="264"/>
      <c r="M71" s="264"/>
      <c r="N71" s="264"/>
      <c r="O71" s="264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4"/>
      <c r="AC71" s="280"/>
      <c r="AD71" s="267"/>
      <c r="AE71" s="9"/>
      <c r="AF71" s="9"/>
      <c r="AG71" s="9"/>
      <c r="AH71" s="9"/>
      <c r="AI71" s="61"/>
      <c r="AJ71" s="36"/>
    </row>
    <row r="72" spans="2:36" ht="14.25" thickTop="1" thickBot="1" x14ac:dyDescent="0.25">
      <c r="B72" s="35"/>
      <c r="C72" s="6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59"/>
      <c r="AJ72" s="36"/>
    </row>
    <row r="73" spans="2:36" x14ac:dyDescent="0.2">
      <c r="B73" s="5"/>
      <c r="C73" s="6"/>
      <c r="D73" s="9"/>
      <c r="E73" s="390"/>
      <c r="F73" s="390"/>
      <c r="G73" s="390"/>
      <c r="H73" s="391"/>
      <c r="I73" s="375" t="s">
        <v>19</v>
      </c>
      <c r="J73" s="376"/>
      <c r="K73" s="376"/>
      <c r="L73" s="10"/>
      <c r="M73" s="10"/>
      <c r="N73" s="49"/>
      <c r="O73" s="49"/>
      <c r="P73" s="49"/>
      <c r="Q73" s="49"/>
      <c r="R73" s="49"/>
      <c r="S73" s="49"/>
      <c r="T73" s="49"/>
      <c r="U73" s="49"/>
      <c r="V73" s="49"/>
      <c r="W73" s="2"/>
      <c r="X73" s="2"/>
      <c r="Y73" s="49"/>
      <c r="Z73" s="49"/>
      <c r="AA73" s="2"/>
      <c r="AB73" s="50"/>
      <c r="AC73" s="6"/>
      <c r="AD73" s="251"/>
      <c r="AE73" s="251"/>
      <c r="AF73" s="9"/>
      <c r="AG73" s="9"/>
      <c r="AH73" s="9"/>
      <c r="AI73" s="59"/>
      <c r="AJ73" s="36"/>
    </row>
    <row r="74" spans="2:36" ht="14.25" customHeight="1" x14ac:dyDescent="0.2">
      <c r="B74" s="5"/>
      <c r="C74" s="6"/>
      <c r="D74" s="9"/>
      <c r="E74" s="341"/>
      <c r="F74" s="341"/>
      <c r="G74" s="341"/>
      <c r="H74" s="379"/>
      <c r="I74" s="340" t="s">
        <v>33</v>
      </c>
      <c r="J74" s="341"/>
      <c r="K74" s="342"/>
      <c r="L74" s="317" t="str">
        <f>SetupOverview!D103</f>
        <v>hole 4</v>
      </c>
      <c r="M74" s="318"/>
      <c r="N74" s="319"/>
      <c r="O74" s="380" t="s">
        <v>44</v>
      </c>
      <c r="P74" s="381"/>
      <c r="Q74" s="381"/>
      <c r="R74" s="382"/>
      <c r="S74" s="377">
        <f>SetupOverview!D104</f>
        <v>0</v>
      </c>
      <c r="T74" s="383"/>
      <c r="U74" s="383"/>
      <c r="V74" s="378"/>
      <c r="W74" s="384" t="s">
        <v>45</v>
      </c>
      <c r="X74" s="385"/>
      <c r="Y74" s="386"/>
      <c r="Z74" s="377" t="str">
        <f>SetupOverview!D105</f>
        <v>50/27</v>
      </c>
      <c r="AA74" s="378"/>
      <c r="AB74" s="51"/>
      <c r="AC74" s="41"/>
      <c r="AD74" s="343"/>
      <c r="AE74" s="343"/>
      <c r="AF74" s="343"/>
      <c r="AG74" s="9"/>
      <c r="AH74" s="9"/>
      <c r="AI74" s="59"/>
      <c r="AJ74" s="36"/>
    </row>
    <row r="75" spans="2:36" x14ac:dyDescent="0.2">
      <c r="B75" s="5"/>
      <c r="C75" s="6"/>
      <c r="D75" s="9"/>
      <c r="E75" s="341"/>
      <c r="F75" s="341"/>
      <c r="G75" s="341"/>
      <c r="H75" s="379"/>
      <c r="I75" s="340" t="s">
        <v>29</v>
      </c>
      <c r="J75" s="341"/>
      <c r="K75" s="342"/>
      <c r="L75" s="317" t="str">
        <f>IF(SetupOverview!D106="","",SetupOverview!D106)</f>
        <v/>
      </c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9"/>
      <c r="AB75" s="51"/>
      <c r="AC75" s="41"/>
      <c r="AD75" s="343"/>
      <c r="AE75" s="343"/>
      <c r="AF75" s="343"/>
      <c r="AG75" s="9"/>
      <c r="AH75" s="9"/>
      <c r="AI75" s="59"/>
      <c r="AJ75" s="36"/>
    </row>
    <row r="76" spans="2:36" ht="13.5" thickBot="1" x14ac:dyDescent="0.25">
      <c r="B76" s="5"/>
      <c r="C76" s="6"/>
      <c r="D76" s="9"/>
      <c r="E76" s="345"/>
      <c r="F76" s="345"/>
      <c r="G76" s="345"/>
      <c r="H76" s="372"/>
      <c r="I76" s="373"/>
      <c r="J76" s="374"/>
      <c r="K76" s="374"/>
      <c r="L76" s="264"/>
      <c r="M76" s="264"/>
      <c r="N76" s="264"/>
      <c r="O76" s="264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4"/>
      <c r="AC76" s="280"/>
      <c r="AD76" s="14"/>
      <c r="AE76" s="14"/>
      <c r="AF76" s="9"/>
      <c r="AG76" s="9"/>
      <c r="AH76" s="9"/>
      <c r="AI76" s="59"/>
      <c r="AJ76" s="36"/>
    </row>
    <row r="77" spans="2:36" ht="14.25" thickTop="1" thickBot="1" x14ac:dyDescent="0.25">
      <c r="B77" s="3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9"/>
      <c r="AI77" s="59"/>
      <c r="AJ77" s="36"/>
    </row>
    <row r="78" spans="2:36" x14ac:dyDescent="0.2">
      <c r="B78" s="35"/>
      <c r="C78" s="6"/>
      <c r="D78" s="375" t="s">
        <v>20</v>
      </c>
      <c r="E78" s="376"/>
      <c r="F78" s="376"/>
      <c r="G78" s="376"/>
      <c r="H78" s="37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40"/>
      <c r="AH78" s="9"/>
      <c r="AI78" s="59"/>
      <c r="AJ78" s="36"/>
    </row>
    <row r="79" spans="2:36" ht="15.75" customHeight="1" x14ac:dyDescent="0.2">
      <c r="B79" s="35"/>
      <c r="C79" s="6"/>
      <c r="D79" s="366"/>
      <c r="E79" s="367"/>
      <c r="F79" s="367"/>
      <c r="G79" s="367"/>
      <c r="H79" s="367"/>
      <c r="I79" s="367"/>
      <c r="J79" s="367"/>
      <c r="K79" s="367"/>
      <c r="L79" s="367"/>
      <c r="M79" s="367"/>
      <c r="N79" s="367"/>
      <c r="O79" s="367"/>
      <c r="P79" s="367"/>
      <c r="Q79" s="367"/>
      <c r="R79" s="367"/>
      <c r="S79" s="367"/>
      <c r="T79" s="367"/>
      <c r="U79" s="367"/>
      <c r="V79" s="367"/>
      <c r="W79" s="367"/>
      <c r="X79" s="367"/>
      <c r="Y79" s="367"/>
      <c r="Z79" s="367"/>
      <c r="AA79" s="367"/>
      <c r="AB79" s="367"/>
      <c r="AC79" s="367"/>
      <c r="AD79" s="367"/>
      <c r="AE79" s="367"/>
      <c r="AF79" s="367"/>
      <c r="AG79" s="368"/>
      <c r="AH79" s="9"/>
      <c r="AI79" s="59"/>
      <c r="AJ79" s="36"/>
    </row>
    <row r="80" spans="2:36" ht="15.75" customHeight="1" x14ac:dyDescent="0.2">
      <c r="B80" s="35"/>
      <c r="C80" s="6"/>
      <c r="D80" s="366"/>
      <c r="E80" s="367"/>
      <c r="F80" s="367"/>
      <c r="G80" s="367"/>
      <c r="H80" s="367"/>
      <c r="I80" s="367"/>
      <c r="J80" s="367"/>
      <c r="K80" s="367"/>
      <c r="L80" s="367"/>
      <c r="M80" s="367"/>
      <c r="N80" s="367"/>
      <c r="O80" s="367"/>
      <c r="P80" s="367"/>
      <c r="Q80" s="367"/>
      <c r="R80" s="367"/>
      <c r="S80" s="367"/>
      <c r="T80" s="367"/>
      <c r="U80" s="367"/>
      <c r="V80" s="367"/>
      <c r="W80" s="367"/>
      <c r="X80" s="367"/>
      <c r="Y80" s="367"/>
      <c r="Z80" s="367"/>
      <c r="AA80" s="367"/>
      <c r="AB80" s="367"/>
      <c r="AC80" s="367"/>
      <c r="AD80" s="367"/>
      <c r="AE80" s="367"/>
      <c r="AF80" s="367"/>
      <c r="AG80" s="368"/>
      <c r="AH80" s="9"/>
      <c r="AI80" s="59"/>
      <c r="AJ80" s="36"/>
    </row>
    <row r="81" spans="2:36" ht="15.75" customHeight="1" x14ac:dyDescent="0.2">
      <c r="B81" s="35"/>
      <c r="C81" s="6"/>
      <c r="D81" s="366"/>
      <c r="E81" s="367"/>
      <c r="F81" s="367"/>
      <c r="G81" s="367"/>
      <c r="H81" s="367"/>
      <c r="I81" s="367"/>
      <c r="J81" s="367"/>
      <c r="K81" s="367"/>
      <c r="L81" s="367"/>
      <c r="M81" s="367"/>
      <c r="N81" s="367"/>
      <c r="O81" s="367"/>
      <c r="P81" s="367"/>
      <c r="Q81" s="367"/>
      <c r="R81" s="367"/>
      <c r="S81" s="367"/>
      <c r="T81" s="367"/>
      <c r="U81" s="367"/>
      <c r="V81" s="367"/>
      <c r="W81" s="367"/>
      <c r="X81" s="367"/>
      <c r="Y81" s="367"/>
      <c r="Z81" s="367"/>
      <c r="AA81" s="367"/>
      <c r="AB81" s="367"/>
      <c r="AC81" s="367"/>
      <c r="AD81" s="367"/>
      <c r="AE81" s="367"/>
      <c r="AF81" s="367"/>
      <c r="AG81" s="368"/>
      <c r="AH81" s="9"/>
      <c r="AI81" s="59"/>
      <c r="AJ81" s="36"/>
    </row>
    <row r="82" spans="2:36" ht="15.75" customHeight="1" x14ac:dyDescent="0.2">
      <c r="B82" s="35"/>
      <c r="C82" s="6"/>
      <c r="D82" s="366"/>
      <c r="E82" s="367"/>
      <c r="F82" s="367"/>
      <c r="G82" s="367"/>
      <c r="H82" s="367"/>
      <c r="I82" s="367"/>
      <c r="J82" s="367"/>
      <c r="K82" s="367"/>
      <c r="L82" s="367"/>
      <c r="M82" s="367"/>
      <c r="N82" s="367"/>
      <c r="O82" s="367"/>
      <c r="P82" s="367"/>
      <c r="Q82" s="367"/>
      <c r="R82" s="367"/>
      <c r="S82" s="367"/>
      <c r="T82" s="367"/>
      <c r="U82" s="367"/>
      <c r="V82" s="367"/>
      <c r="W82" s="367"/>
      <c r="X82" s="367"/>
      <c r="Y82" s="367"/>
      <c r="Z82" s="367"/>
      <c r="AA82" s="367"/>
      <c r="AB82" s="367"/>
      <c r="AC82" s="367"/>
      <c r="AD82" s="367"/>
      <c r="AE82" s="367"/>
      <c r="AF82" s="367"/>
      <c r="AG82" s="368"/>
      <c r="AH82" s="9"/>
      <c r="AI82" s="59"/>
      <c r="AJ82" s="36"/>
    </row>
    <row r="83" spans="2:36" ht="15.75" customHeight="1" x14ac:dyDescent="0.2">
      <c r="B83" s="35"/>
      <c r="C83" s="6"/>
      <c r="D83" s="366"/>
      <c r="E83" s="367"/>
      <c r="F83" s="367"/>
      <c r="G83" s="367"/>
      <c r="H83" s="367"/>
      <c r="I83" s="367"/>
      <c r="J83" s="367"/>
      <c r="K83" s="367"/>
      <c r="L83" s="367"/>
      <c r="M83" s="367"/>
      <c r="N83" s="367"/>
      <c r="O83" s="367"/>
      <c r="P83" s="367"/>
      <c r="Q83" s="367"/>
      <c r="R83" s="367"/>
      <c r="S83" s="367"/>
      <c r="T83" s="367"/>
      <c r="U83" s="367"/>
      <c r="V83" s="367"/>
      <c r="W83" s="367"/>
      <c r="X83" s="367"/>
      <c r="Y83" s="367"/>
      <c r="Z83" s="367"/>
      <c r="AA83" s="367"/>
      <c r="AB83" s="367"/>
      <c r="AC83" s="367"/>
      <c r="AD83" s="367"/>
      <c r="AE83" s="367"/>
      <c r="AF83" s="367"/>
      <c r="AG83" s="368"/>
      <c r="AH83" s="9"/>
      <c r="AI83" s="59"/>
      <c r="AJ83" s="36"/>
    </row>
    <row r="84" spans="2:36" ht="15" customHeight="1" x14ac:dyDescent="0.2">
      <c r="B84" s="35"/>
      <c r="C84" s="6"/>
      <c r="D84" s="366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367"/>
      <c r="U84" s="367"/>
      <c r="V84" s="367"/>
      <c r="W84" s="367"/>
      <c r="X84" s="367"/>
      <c r="Y84" s="367"/>
      <c r="Z84" s="367"/>
      <c r="AA84" s="367"/>
      <c r="AB84" s="367"/>
      <c r="AC84" s="367"/>
      <c r="AD84" s="367"/>
      <c r="AE84" s="367"/>
      <c r="AF84" s="367"/>
      <c r="AG84" s="368"/>
      <c r="AH84" s="9"/>
      <c r="AI84" s="59"/>
      <c r="AJ84" s="36"/>
    </row>
    <row r="85" spans="2:36" ht="15" customHeight="1" thickBot="1" x14ac:dyDescent="0.25">
      <c r="B85" s="35"/>
      <c r="C85" s="62"/>
      <c r="D85" s="369"/>
      <c r="E85" s="370"/>
      <c r="F85" s="370"/>
      <c r="G85" s="370"/>
      <c r="H85" s="370"/>
      <c r="I85" s="370"/>
      <c r="J85" s="370"/>
      <c r="K85" s="370"/>
      <c r="L85" s="370"/>
      <c r="M85" s="370"/>
      <c r="N85" s="370"/>
      <c r="O85" s="370"/>
      <c r="P85" s="370"/>
      <c r="Q85" s="370"/>
      <c r="R85" s="370"/>
      <c r="S85" s="370"/>
      <c r="T85" s="370"/>
      <c r="U85" s="370"/>
      <c r="V85" s="370"/>
      <c r="W85" s="370"/>
      <c r="X85" s="370"/>
      <c r="Y85" s="370"/>
      <c r="Z85" s="370"/>
      <c r="AA85" s="370"/>
      <c r="AB85" s="370"/>
      <c r="AC85" s="370"/>
      <c r="AD85" s="370"/>
      <c r="AE85" s="370"/>
      <c r="AF85" s="370"/>
      <c r="AG85" s="371"/>
      <c r="AH85" s="38"/>
      <c r="AI85" s="59"/>
      <c r="AJ85" s="36"/>
    </row>
    <row r="86" spans="2:36" ht="15" customHeight="1" thickBot="1" x14ac:dyDescent="0.25">
      <c r="B86" s="189"/>
      <c r="C86" s="56"/>
      <c r="D86" s="252"/>
      <c r="E86" s="252"/>
      <c r="F86" s="252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252"/>
      <c r="S86" s="252"/>
      <c r="T86" s="252"/>
      <c r="U86" s="252"/>
      <c r="V86" s="252"/>
      <c r="W86" s="252"/>
      <c r="X86" s="252"/>
      <c r="Y86" s="252"/>
      <c r="Z86" s="252"/>
      <c r="AA86" s="252"/>
      <c r="AB86" s="252"/>
      <c r="AC86" s="252"/>
      <c r="AD86" s="252"/>
      <c r="AE86" s="252"/>
      <c r="AF86" s="252"/>
      <c r="AG86" s="252"/>
      <c r="AH86" s="190"/>
      <c r="AI86" s="60"/>
      <c r="AJ86" s="36"/>
    </row>
    <row r="87" spans="2:36" ht="13.5" thickTop="1" x14ac:dyDescent="0.2"/>
  </sheetData>
  <mergeCells count="279">
    <mergeCell ref="AB4:AD4"/>
    <mergeCell ref="AE4:AF4"/>
    <mergeCell ref="W2:Y2"/>
    <mergeCell ref="Z2:AA2"/>
    <mergeCell ref="AB2:AD2"/>
    <mergeCell ref="AE2:AF2"/>
    <mergeCell ref="H3:I3"/>
    <mergeCell ref="J3:K3"/>
    <mergeCell ref="L3:N3"/>
    <mergeCell ref="O3:R3"/>
    <mergeCell ref="S3:V3"/>
    <mergeCell ref="W3:Y3"/>
    <mergeCell ref="H2:I2"/>
    <mergeCell ref="J2:K2"/>
    <mergeCell ref="L2:N2"/>
    <mergeCell ref="O2:R2"/>
    <mergeCell ref="S2:V2"/>
    <mergeCell ref="Z3:AA3"/>
    <mergeCell ref="AB3:AD3"/>
    <mergeCell ref="AE3:AF3"/>
    <mergeCell ref="E6:H6"/>
    <mergeCell ref="I6:K6"/>
    <mergeCell ref="E7:H7"/>
    <mergeCell ref="I7:K7"/>
    <mergeCell ref="L7:N7"/>
    <mergeCell ref="S7:V7"/>
    <mergeCell ref="W7:Y7"/>
    <mergeCell ref="Z7:AA7"/>
    <mergeCell ref="B2:E4"/>
    <mergeCell ref="H4:I4"/>
    <mergeCell ref="J4:K4"/>
    <mergeCell ref="L4:N4"/>
    <mergeCell ref="O4:R4"/>
    <mergeCell ref="S4:V4"/>
    <mergeCell ref="W4:Y4"/>
    <mergeCell ref="Z4:AA4"/>
    <mergeCell ref="E9:H9"/>
    <mergeCell ref="I9:K9"/>
    <mergeCell ref="L9:AA9"/>
    <mergeCell ref="AD9:AF9"/>
    <mergeCell ref="E10:H10"/>
    <mergeCell ref="I10:K10"/>
    <mergeCell ref="AD7:AF7"/>
    <mergeCell ref="E8:H8"/>
    <mergeCell ref="I8:K8"/>
    <mergeCell ref="L8:N8"/>
    <mergeCell ref="O8:R8"/>
    <mergeCell ref="S8:V8"/>
    <mergeCell ref="W8:Y8"/>
    <mergeCell ref="Z8:AA8"/>
    <mergeCell ref="AD8:AE8"/>
    <mergeCell ref="J14:K15"/>
    <mergeCell ref="Z14:AA15"/>
    <mergeCell ref="C14:E15"/>
    <mergeCell ref="J13:K13"/>
    <mergeCell ref="Z13:AA13"/>
    <mergeCell ref="F13:I13"/>
    <mergeCell ref="C16:E17"/>
    <mergeCell ref="H17:I17"/>
    <mergeCell ref="L15:Y17"/>
    <mergeCell ref="L18:N18"/>
    <mergeCell ref="O18:R18"/>
    <mergeCell ref="S18:V18"/>
    <mergeCell ref="J17:K17"/>
    <mergeCell ref="J18:K18"/>
    <mergeCell ref="AV27:AY27"/>
    <mergeCell ref="L28:N28"/>
    <mergeCell ref="W28:Y28"/>
    <mergeCell ref="O28:V28"/>
    <mergeCell ref="Z25:AA25"/>
    <mergeCell ref="AB25:AD25"/>
    <mergeCell ref="AE25:AF25"/>
    <mergeCell ref="AG25:AH25"/>
    <mergeCell ref="O19:R19"/>
    <mergeCell ref="W19:Y19"/>
    <mergeCell ref="L26:Y26"/>
    <mergeCell ref="L27:N27"/>
    <mergeCell ref="O27:V27"/>
    <mergeCell ref="AV32:AY32"/>
    <mergeCell ref="L33:N34"/>
    <mergeCell ref="O33:R34"/>
    <mergeCell ref="S33:V34"/>
    <mergeCell ref="W33:Y34"/>
    <mergeCell ref="L29:N29"/>
    <mergeCell ref="O29:V29"/>
    <mergeCell ref="W29:Y29"/>
    <mergeCell ref="L30:N30"/>
    <mergeCell ref="O30:R31"/>
    <mergeCell ref="S30:V31"/>
    <mergeCell ref="W30:Y30"/>
    <mergeCell ref="L31:N31"/>
    <mergeCell ref="W31:Y31"/>
    <mergeCell ref="BC39:BD39"/>
    <mergeCell ref="L40:Y40"/>
    <mergeCell ref="L41:N41"/>
    <mergeCell ref="O41:V41"/>
    <mergeCell ref="L42:N42"/>
    <mergeCell ref="W42:Y42"/>
    <mergeCell ref="BC38:BD38"/>
    <mergeCell ref="L35:N36"/>
    <mergeCell ref="O35:R36"/>
    <mergeCell ref="S35:V36"/>
    <mergeCell ref="W35:Y36"/>
    <mergeCell ref="L37:N37"/>
    <mergeCell ref="O37:V37"/>
    <mergeCell ref="AV45:AW45"/>
    <mergeCell ref="AX45:AY45"/>
    <mergeCell ref="L46:N46"/>
    <mergeCell ref="O46:V46"/>
    <mergeCell ref="W46:Y46"/>
    <mergeCell ref="AV46:AW46"/>
    <mergeCell ref="AX46:AY46"/>
    <mergeCell ref="L43:N43"/>
    <mergeCell ref="O43:V43"/>
    <mergeCell ref="W43:Y43"/>
    <mergeCell ref="L44:N44"/>
    <mergeCell ref="O44:R45"/>
    <mergeCell ref="S44:V45"/>
    <mergeCell ref="W44:Y44"/>
    <mergeCell ref="L45:N45"/>
    <mergeCell ref="W45:Y45"/>
    <mergeCell ref="AV51:AW51"/>
    <mergeCell ref="AX51:AY51"/>
    <mergeCell ref="L47:N48"/>
    <mergeCell ref="O47:R48"/>
    <mergeCell ref="S47:V48"/>
    <mergeCell ref="W47:Y48"/>
    <mergeCell ref="L49:N50"/>
    <mergeCell ref="O49:R50"/>
    <mergeCell ref="S49:V50"/>
    <mergeCell ref="W49:Y50"/>
    <mergeCell ref="C56:E57"/>
    <mergeCell ref="J55:K55"/>
    <mergeCell ref="Z55:AA55"/>
    <mergeCell ref="C54:E55"/>
    <mergeCell ref="F55:I55"/>
    <mergeCell ref="L52:N52"/>
    <mergeCell ref="O52:R52"/>
    <mergeCell ref="S52:V52"/>
    <mergeCell ref="W52:X52"/>
    <mergeCell ref="Z69:AA69"/>
    <mergeCell ref="I70:K70"/>
    <mergeCell ref="L70:M70"/>
    <mergeCell ref="S70:V70"/>
    <mergeCell ref="I71:K71"/>
    <mergeCell ref="E73:H73"/>
    <mergeCell ref="I73:K73"/>
    <mergeCell ref="I68:K68"/>
    <mergeCell ref="I69:K69"/>
    <mergeCell ref="L69:M69"/>
    <mergeCell ref="N69:R69"/>
    <mergeCell ref="S69:V69"/>
    <mergeCell ref="W69:Y69"/>
    <mergeCell ref="Z74:AA74"/>
    <mergeCell ref="AD74:AF74"/>
    <mergeCell ref="E75:H75"/>
    <mergeCell ref="I75:K75"/>
    <mergeCell ref="L75:AA75"/>
    <mergeCell ref="AD75:AF75"/>
    <mergeCell ref="E74:H74"/>
    <mergeCell ref="I74:K74"/>
    <mergeCell ref="L74:N74"/>
    <mergeCell ref="O74:R74"/>
    <mergeCell ref="S74:V74"/>
    <mergeCell ref="W74:Y74"/>
    <mergeCell ref="D82:AG82"/>
    <mergeCell ref="D83:AG83"/>
    <mergeCell ref="D84:AG84"/>
    <mergeCell ref="D85:AG85"/>
    <mergeCell ref="E76:H76"/>
    <mergeCell ref="I76:K76"/>
    <mergeCell ref="D78:H78"/>
    <mergeCell ref="D79:AG79"/>
    <mergeCell ref="D80:AG80"/>
    <mergeCell ref="D81:AG81"/>
    <mergeCell ref="C18:E19"/>
    <mergeCell ref="C20:E21"/>
    <mergeCell ref="C22:E23"/>
    <mergeCell ref="B1:AG1"/>
    <mergeCell ref="C12:E13"/>
    <mergeCell ref="H16:I16"/>
    <mergeCell ref="F18:G18"/>
    <mergeCell ref="H18:I18"/>
    <mergeCell ref="F20:G20"/>
    <mergeCell ref="L21:N21"/>
    <mergeCell ref="O21:U21"/>
    <mergeCell ref="L22:N22"/>
    <mergeCell ref="O22:U22"/>
    <mergeCell ref="AB21:AC21"/>
    <mergeCell ref="AD21:AE21"/>
    <mergeCell ref="L20:N20"/>
    <mergeCell ref="O20:V20"/>
    <mergeCell ref="H20:I20"/>
    <mergeCell ref="J20:K20"/>
    <mergeCell ref="J21:K21"/>
    <mergeCell ref="W18:Y18"/>
    <mergeCell ref="J19:K19"/>
    <mergeCell ref="L19:N19"/>
    <mergeCell ref="AF14:AH15"/>
    <mergeCell ref="AB13:AE13"/>
    <mergeCell ref="AF12:AH13"/>
    <mergeCell ref="AC22:AD22"/>
    <mergeCell ref="AC23:AD23"/>
    <mergeCell ref="AB16:AC16"/>
    <mergeCell ref="AB18:AC18"/>
    <mergeCell ref="AD18:AE18"/>
    <mergeCell ref="AB19:AC19"/>
    <mergeCell ref="AD19:AE19"/>
    <mergeCell ref="AB20:AC20"/>
    <mergeCell ref="AD20:AE20"/>
    <mergeCell ref="AB17:AC17"/>
    <mergeCell ref="AF16:AH17"/>
    <mergeCell ref="AF18:AH19"/>
    <mergeCell ref="AF20:AH21"/>
    <mergeCell ref="AF22:AH23"/>
    <mergeCell ref="C64:E65"/>
    <mergeCell ref="G64:H64"/>
    <mergeCell ref="G65:H65"/>
    <mergeCell ref="C58:E59"/>
    <mergeCell ref="H58:I58"/>
    <mergeCell ref="C60:E61"/>
    <mergeCell ref="F60:G60"/>
    <mergeCell ref="H60:I60"/>
    <mergeCell ref="J60:K60"/>
    <mergeCell ref="F61:G61"/>
    <mergeCell ref="H61:I61"/>
    <mergeCell ref="J61:K61"/>
    <mergeCell ref="H59:I59"/>
    <mergeCell ref="C62:E63"/>
    <mergeCell ref="F62:G62"/>
    <mergeCell ref="F58:G58"/>
    <mergeCell ref="F59:G59"/>
    <mergeCell ref="J59:K59"/>
    <mergeCell ref="H62:I62"/>
    <mergeCell ref="J62:K62"/>
    <mergeCell ref="F63:G63"/>
    <mergeCell ref="H63:I63"/>
    <mergeCell ref="J63:K63"/>
    <mergeCell ref="L61:N61"/>
    <mergeCell ref="W61:Y61"/>
    <mergeCell ref="AB60:AC60"/>
    <mergeCell ref="AD60:AE60"/>
    <mergeCell ref="AF60:AH61"/>
    <mergeCell ref="AB61:AC61"/>
    <mergeCell ref="L59:N59"/>
    <mergeCell ref="L60:N60"/>
    <mergeCell ref="L32:N32"/>
    <mergeCell ref="O32:V32"/>
    <mergeCell ref="W32:Y32"/>
    <mergeCell ref="G22:H22"/>
    <mergeCell ref="G23:H23"/>
    <mergeCell ref="F19:G19"/>
    <mergeCell ref="H19:I19"/>
    <mergeCell ref="F21:G21"/>
    <mergeCell ref="H21:I21"/>
    <mergeCell ref="L58:N58"/>
    <mergeCell ref="J56:K57"/>
    <mergeCell ref="Z56:AA57"/>
    <mergeCell ref="L51:N51"/>
    <mergeCell ref="AC64:AD64"/>
    <mergeCell ref="AF64:AH65"/>
    <mergeCell ref="AC65:AD65"/>
    <mergeCell ref="O42:V42"/>
    <mergeCell ref="AD58:AE58"/>
    <mergeCell ref="AD59:AE59"/>
    <mergeCell ref="AD61:AE61"/>
    <mergeCell ref="AB62:AC62"/>
    <mergeCell ref="AD62:AE62"/>
    <mergeCell ref="AF62:AH63"/>
    <mergeCell ref="AB63:AC63"/>
    <mergeCell ref="AD63:AE63"/>
    <mergeCell ref="W60:Y60"/>
    <mergeCell ref="O51:V51"/>
    <mergeCell ref="AF54:AH55"/>
    <mergeCell ref="AB55:AE55"/>
    <mergeCell ref="AF56:AH57"/>
    <mergeCell ref="AB58:AC58"/>
    <mergeCell ref="AF58:AH59"/>
    <mergeCell ref="AB59:AC59"/>
  </mergeCells>
  <printOptions horizontalCentered="1"/>
  <pageMargins left="0" right="0" top="0" bottom="0" header="0" footer="0"/>
  <pageSetup paperSize="9" scale="52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pageSetUpPr fitToPage="1"/>
  </sheetPr>
  <dimension ref="A1:BG128"/>
  <sheetViews>
    <sheetView showGridLines="0" tabSelected="1" topLeftCell="A40" zoomScale="105" zoomScaleNormal="105" zoomScaleSheetLayoutView="85" workbookViewId="0">
      <selection activeCell="AC47" sqref="AC47"/>
    </sheetView>
  </sheetViews>
  <sheetFormatPr defaultRowHeight="12.75" x14ac:dyDescent="0.2"/>
  <cols>
    <col min="1" max="2" width="2.7109375" style="1" customWidth="1"/>
    <col min="3" max="3" width="5.7109375" style="1" customWidth="1"/>
    <col min="4" max="10" width="6.28515625" style="1" customWidth="1"/>
    <col min="11" max="11" width="7.85546875" style="1" customWidth="1"/>
    <col min="12" max="12" width="8.42578125" style="1" customWidth="1"/>
    <col min="13" max="13" width="6.7109375" style="1" customWidth="1"/>
    <col min="14" max="21" width="3.7109375" style="1" customWidth="1"/>
    <col min="22" max="22" width="6.28515625" style="1" customWidth="1"/>
    <col min="23" max="23" width="6" style="1" customWidth="1"/>
    <col min="24" max="30" width="6.28515625" style="1" customWidth="1"/>
    <col min="31" max="32" width="5.7109375" style="1" customWidth="1"/>
    <col min="33" max="34" width="2.7109375" style="1" customWidth="1"/>
    <col min="35" max="256" width="9.140625" style="1"/>
    <col min="257" max="258" width="2.7109375" style="1" customWidth="1"/>
    <col min="259" max="259" width="5.7109375" style="1" customWidth="1"/>
    <col min="260" max="267" width="6.28515625" style="1" customWidth="1"/>
    <col min="268" max="268" width="5" style="1" customWidth="1"/>
    <col min="269" max="269" width="6.7109375" style="1" customWidth="1"/>
    <col min="270" max="272" width="3.7109375" style="1" customWidth="1"/>
    <col min="273" max="273" width="7" style="1" customWidth="1"/>
    <col min="274" max="274" width="5.5703125" style="1" customWidth="1"/>
    <col min="275" max="275" width="6.85546875" style="1" customWidth="1"/>
    <col min="276" max="277" width="3.7109375" style="1" customWidth="1"/>
    <col min="278" max="278" width="6.28515625" style="1" customWidth="1"/>
    <col min="279" max="279" width="6" style="1" customWidth="1"/>
    <col min="280" max="286" width="6.28515625" style="1" customWidth="1"/>
    <col min="287" max="288" width="5.7109375" style="1" customWidth="1"/>
    <col min="289" max="290" width="2.7109375" style="1" customWidth="1"/>
    <col min="291" max="512" width="9.140625" style="1"/>
    <col min="513" max="514" width="2.7109375" style="1" customWidth="1"/>
    <col min="515" max="515" width="5.7109375" style="1" customWidth="1"/>
    <col min="516" max="523" width="6.28515625" style="1" customWidth="1"/>
    <col min="524" max="524" width="5" style="1" customWidth="1"/>
    <col min="525" max="525" width="6.7109375" style="1" customWidth="1"/>
    <col min="526" max="528" width="3.7109375" style="1" customWidth="1"/>
    <col min="529" max="529" width="7" style="1" customWidth="1"/>
    <col min="530" max="530" width="5.5703125" style="1" customWidth="1"/>
    <col min="531" max="531" width="6.85546875" style="1" customWidth="1"/>
    <col min="532" max="533" width="3.7109375" style="1" customWidth="1"/>
    <col min="534" max="534" width="6.28515625" style="1" customWidth="1"/>
    <col min="535" max="535" width="6" style="1" customWidth="1"/>
    <col min="536" max="542" width="6.28515625" style="1" customWidth="1"/>
    <col min="543" max="544" width="5.7109375" style="1" customWidth="1"/>
    <col min="545" max="546" width="2.7109375" style="1" customWidth="1"/>
    <col min="547" max="768" width="9.140625" style="1"/>
    <col min="769" max="770" width="2.7109375" style="1" customWidth="1"/>
    <col min="771" max="771" width="5.7109375" style="1" customWidth="1"/>
    <col min="772" max="779" width="6.28515625" style="1" customWidth="1"/>
    <col min="780" max="780" width="5" style="1" customWidth="1"/>
    <col min="781" max="781" width="6.7109375" style="1" customWidth="1"/>
    <col min="782" max="784" width="3.7109375" style="1" customWidth="1"/>
    <col min="785" max="785" width="7" style="1" customWidth="1"/>
    <col min="786" max="786" width="5.5703125" style="1" customWidth="1"/>
    <col min="787" max="787" width="6.85546875" style="1" customWidth="1"/>
    <col min="788" max="789" width="3.7109375" style="1" customWidth="1"/>
    <col min="790" max="790" width="6.28515625" style="1" customWidth="1"/>
    <col min="791" max="791" width="6" style="1" customWidth="1"/>
    <col min="792" max="798" width="6.28515625" style="1" customWidth="1"/>
    <col min="799" max="800" width="5.7109375" style="1" customWidth="1"/>
    <col min="801" max="802" width="2.7109375" style="1" customWidth="1"/>
    <col min="803" max="1024" width="9.140625" style="1"/>
    <col min="1025" max="1026" width="2.7109375" style="1" customWidth="1"/>
    <col min="1027" max="1027" width="5.7109375" style="1" customWidth="1"/>
    <col min="1028" max="1035" width="6.28515625" style="1" customWidth="1"/>
    <col min="1036" max="1036" width="5" style="1" customWidth="1"/>
    <col min="1037" max="1037" width="6.7109375" style="1" customWidth="1"/>
    <col min="1038" max="1040" width="3.7109375" style="1" customWidth="1"/>
    <col min="1041" max="1041" width="7" style="1" customWidth="1"/>
    <col min="1042" max="1042" width="5.5703125" style="1" customWidth="1"/>
    <col min="1043" max="1043" width="6.85546875" style="1" customWidth="1"/>
    <col min="1044" max="1045" width="3.7109375" style="1" customWidth="1"/>
    <col min="1046" max="1046" width="6.28515625" style="1" customWidth="1"/>
    <col min="1047" max="1047" width="6" style="1" customWidth="1"/>
    <col min="1048" max="1054" width="6.28515625" style="1" customWidth="1"/>
    <col min="1055" max="1056" width="5.7109375" style="1" customWidth="1"/>
    <col min="1057" max="1058" width="2.7109375" style="1" customWidth="1"/>
    <col min="1059" max="1280" width="9.140625" style="1"/>
    <col min="1281" max="1282" width="2.7109375" style="1" customWidth="1"/>
    <col min="1283" max="1283" width="5.7109375" style="1" customWidth="1"/>
    <col min="1284" max="1291" width="6.28515625" style="1" customWidth="1"/>
    <col min="1292" max="1292" width="5" style="1" customWidth="1"/>
    <col min="1293" max="1293" width="6.7109375" style="1" customWidth="1"/>
    <col min="1294" max="1296" width="3.7109375" style="1" customWidth="1"/>
    <col min="1297" max="1297" width="7" style="1" customWidth="1"/>
    <col min="1298" max="1298" width="5.5703125" style="1" customWidth="1"/>
    <col min="1299" max="1299" width="6.85546875" style="1" customWidth="1"/>
    <col min="1300" max="1301" width="3.7109375" style="1" customWidth="1"/>
    <col min="1302" max="1302" width="6.28515625" style="1" customWidth="1"/>
    <col min="1303" max="1303" width="6" style="1" customWidth="1"/>
    <col min="1304" max="1310" width="6.28515625" style="1" customWidth="1"/>
    <col min="1311" max="1312" width="5.7109375" style="1" customWidth="1"/>
    <col min="1313" max="1314" width="2.7109375" style="1" customWidth="1"/>
    <col min="1315" max="1536" width="9.140625" style="1"/>
    <col min="1537" max="1538" width="2.7109375" style="1" customWidth="1"/>
    <col min="1539" max="1539" width="5.7109375" style="1" customWidth="1"/>
    <col min="1540" max="1547" width="6.28515625" style="1" customWidth="1"/>
    <col min="1548" max="1548" width="5" style="1" customWidth="1"/>
    <col min="1549" max="1549" width="6.7109375" style="1" customWidth="1"/>
    <col min="1550" max="1552" width="3.7109375" style="1" customWidth="1"/>
    <col min="1553" max="1553" width="7" style="1" customWidth="1"/>
    <col min="1554" max="1554" width="5.5703125" style="1" customWidth="1"/>
    <col min="1555" max="1555" width="6.85546875" style="1" customWidth="1"/>
    <col min="1556" max="1557" width="3.7109375" style="1" customWidth="1"/>
    <col min="1558" max="1558" width="6.28515625" style="1" customWidth="1"/>
    <col min="1559" max="1559" width="6" style="1" customWidth="1"/>
    <col min="1560" max="1566" width="6.28515625" style="1" customWidth="1"/>
    <col min="1567" max="1568" width="5.7109375" style="1" customWidth="1"/>
    <col min="1569" max="1570" width="2.7109375" style="1" customWidth="1"/>
    <col min="1571" max="1792" width="9.140625" style="1"/>
    <col min="1793" max="1794" width="2.7109375" style="1" customWidth="1"/>
    <col min="1795" max="1795" width="5.7109375" style="1" customWidth="1"/>
    <col min="1796" max="1803" width="6.28515625" style="1" customWidth="1"/>
    <col min="1804" max="1804" width="5" style="1" customWidth="1"/>
    <col min="1805" max="1805" width="6.7109375" style="1" customWidth="1"/>
    <col min="1806" max="1808" width="3.7109375" style="1" customWidth="1"/>
    <col min="1809" max="1809" width="7" style="1" customWidth="1"/>
    <col min="1810" max="1810" width="5.5703125" style="1" customWidth="1"/>
    <col min="1811" max="1811" width="6.85546875" style="1" customWidth="1"/>
    <col min="1812" max="1813" width="3.7109375" style="1" customWidth="1"/>
    <col min="1814" max="1814" width="6.28515625" style="1" customWidth="1"/>
    <col min="1815" max="1815" width="6" style="1" customWidth="1"/>
    <col min="1816" max="1822" width="6.28515625" style="1" customWidth="1"/>
    <col min="1823" max="1824" width="5.7109375" style="1" customWidth="1"/>
    <col min="1825" max="1826" width="2.7109375" style="1" customWidth="1"/>
    <col min="1827" max="2048" width="9.140625" style="1"/>
    <col min="2049" max="2050" width="2.7109375" style="1" customWidth="1"/>
    <col min="2051" max="2051" width="5.7109375" style="1" customWidth="1"/>
    <col min="2052" max="2059" width="6.28515625" style="1" customWidth="1"/>
    <col min="2060" max="2060" width="5" style="1" customWidth="1"/>
    <col min="2061" max="2061" width="6.7109375" style="1" customWidth="1"/>
    <col min="2062" max="2064" width="3.7109375" style="1" customWidth="1"/>
    <col min="2065" max="2065" width="7" style="1" customWidth="1"/>
    <col min="2066" max="2066" width="5.5703125" style="1" customWidth="1"/>
    <col min="2067" max="2067" width="6.85546875" style="1" customWidth="1"/>
    <col min="2068" max="2069" width="3.7109375" style="1" customWidth="1"/>
    <col min="2070" max="2070" width="6.28515625" style="1" customWidth="1"/>
    <col min="2071" max="2071" width="6" style="1" customWidth="1"/>
    <col min="2072" max="2078" width="6.28515625" style="1" customWidth="1"/>
    <col min="2079" max="2080" width="5.7109375" style="1" customWidth="1"/>
    <col min="2081" max="2082" width="2.7109375" style="1" customWidth="1"/>
    <col min="2083" max="2304" width="9.140625" style="1"/>
    <col min="2305" max="2306" width="2.7109375" style="1" customWidth="1"/>
    <col min="2307" max="2307" width="5.7109375" style="1" customWidth="1"/>
    <col min="2308" max="2315" width="6.28515625" style="1" customWidth="1"/>
    <col min="2316" max="2316" width="5" style="1" customWidth="1"/>
    <col min="2317" max="2317" width="6.7109375" style="1" customWidth="1"/>
    <col min="2318" max="2320" width="3.7109375" style="1" customWidth="1"/>
    <col min="2321" max="2321" width="7" style="1" customWidth="1"/>
    <col min="2322" max="2322" width="5.5703125" style="1" customWidth="1"/>
    <col min="2323" max="2323" width="6.85546875" style="1" customWidth="1"/>
    <col min="2324" max="2325" width="3.7109375" style="1" customWidth="1"/>
    <col min="2326" max="2326" width="6.28515625" style="1" customWidth="1"/>
    <col min="2327" max="2327" width="6" style="1" customWidth="1"/>
    <col min="2328" max="2334" width="6.28515625" style="1" customWidth="1"/>
    <col min="2335" max="2336" width="5.7109375" style="1" customWidth="1"/>
    <col min="2337" max="2338" width="2.7109375" style="1" customWidth="1"/>
    <col min="2339" max="2560" width="9.140625" style="1"/>
    <col min="2561" max="2562" width="2.7109375" style="1" customWidth="1"/>
    <col min="2563" max="2563" width="5.7109375" style="1" customWidth="1"/>
    <col min="2564" max="2571" width="6.28515625" style="1" customWidth="1"/>
    <col min="2572" max="2572" width="5" style="1" customWidth="1"/>
    <col min="2573" max="2573" width="6.7109375" style="1" customWidth="1"/>
    <col min="2574" max="2576" width="3.7109375" style="1" customWidth="1"/>
    <col min="2577" max="2577" width="7" style="1" customWidth="1"/>
    <col min="2578" max="2578" width="5.5703125" style="1" customWidth="1"/>
    <col min="2579" max="2579" width="6.85546875" style="1" customWidth="1"/>
    <col min="2580" max="2581" width="3.7109375" style="1" customWidth="1"/>
    <col min="2582" max="2582" width="6.28515625" style="1" customWidth="1"/>
    <col min="2583" max="2583" width="6" style="1" customWidth="1"/>
    <col min="2584" max="2590" width="6.28515625" style="1" customWidth="1"/>
    <col min="2591" max="2592" width="5.7109375" style="1" customWidth="1"/>
    <col min="2593" max="2594" width="2.7109375" style="1" customWidth="1"/>
    <col min="2595" max="2816" width="9.140625" style="1"/>
    <col min="2817" max="2818" width="2.7109375" style="1" customWidth="1"/>
    <col min="2819" max="2819" width="5.7109375" style="1" customWidth="1"/>
    <col min="2820" max="2827" width="6.28515625" style="1" customWidth="1"/>
    <col min="2828" max="2828" width="5" style="1" customWidth="1"/>
    <col min="2829" max="2829" width="6.7109375" style="1" customWidth="1"/>
    <col min="2830" max="2832" width="3.7109375" style="1" customWidth="1"/>
    <col min="2833" max="2833" width="7" style="1" customWidth="1"/>
    <col min="2834" max="2834" width="5.5703125" style="1" customWidth="1"/>
    <col min="2835" max="2835" width="6.85546875" style="1" customWidth="1"/>
    <col min="2836" max="2837" width="3.7109375" style="1" customWidth="1"/>
    <col min="2838" max="2838" width="6.28515625" style="1" customWidth="1"/>
    <col min="2839" max="2839" width="6" style="1" customWidth="1"/>
    <col min="2840" max="2846" width="6.28515625" style="1" customWidth="1"/>
    <col min="2847" max="2848" width="5.7109375" style="1" customWidth="1"/>
    <col min="2849" max="2850" width="2.7109375" style="1" customWidth="1"/>
    <col min="2851" max="3072" width="9.140625" style="1"/>
    <col min="3073" max="3074" width="2.7109375" style="1" customWidth="1"/>
    <col min="3075" max="3075" width="5.7109375" style="1" customWidth="1"/>
    <col min="3076" max="3083" width="6.28515625" style="1" customWidth="1"/>
    <col min="3084" max="3084" width="5" style="1" customWidth="1"/>
    <col min="3085" max="3085" width="6.7109375" style="1" customWidth="1"/>
    <col min="3086" max="3088" width="3.7109375" style="1" customWidth="1"/>
    <col min="3089" max="3089" width="7" style="1" customWidth="1"/>
    <col min="3090" max="3090" width="5.5703125" style="1" customWidth="1"/>
    <col min="3091" max="3091" width="6.85546875" style="1" customWidth="1"/>
    <col min="3092" max="3093" width="3.7109375" style="1" customWidth="1"/>
    <col min="3094" max="3094" width="6.28515625" style="1" customWidth="1"/>
    <col min="3095" max="3095" width="6" style="1" customWidth="1"/>
    <col min="3096" max="3102" width="6.28515625" style="1" customWidth="1"/>
    <col min="3103" max="3104" width="5.7109375" style="1" customWidth="1"/>
    <col min="3105" max="3106" width="2.7109375" style="1" customWidth="1"/>
    <col min="3107" max="3328" width="9.140625" style="1"/>
    <col min="3329" max="3330" width="2.7109375" style="1" customWidth="1"/>
    <col min="3331" max="3331" width="5.7109375" style="1" customWidth="1"/>
    <col min="3332" max="3339" width="6.28515625" style="1" customWidth="1"/>
    <col min="3340" max="3340" width="5" style="1" customWidth="1"/>
    <col min="3341" max="3341" width="6.7109375" style="1" customWidth="1"/>
    <col min="3342" max="3344" width="3.7109375" style="1" customWidth="1"/>
    <col min="3345" max="3345" width="7" style="1" customWidth="1"/>
    <col min="3346" max="3346" width="5.5703125" style="1" customWidth="1"/>
    <col min="3347" max="3347" width="6.85546875" style="1" customWidth="1"/>
    <col min="3348" max="3349" width="3.7109375" style="1" customWidth="1"/>
    <col min="3350" max="3350" width="6.28515625" style="1" customWidth="1"/>
    <col min="3351" max="3351" width="6" style="1" customWidth="1"/>
    <col min="3352" max="3358" width="6.28515625" style="1" customWidth="1"/>
    <col min="3359" max="3360" width="5.7109375" style="1" customWidth="1"/>
    <col min="3361" max="3362" width="2.7109375" style="1" customWidth="1"/>
    <col min="3363" max="3584" width="9.140625" style="1"/>
    <col min="3585" max="3586" width="2.7109375" style="1" customWidth="1"/>
    <col min="3587" max="3587" width="5.7109375" style="1" customWidth="1"/>
    <col min="3588" max="3595" width="6.28515625" style="1" customWidth="1"/>
    <col min="3596" max="3596" width="5" style="1" customWidth="1"/>
    <col min="3597" max="3597" width="6.7109375" style="1" customWidth="1"/>
    <col min="3598" max="3600" width="3.7109375" style="1" customWidth="1"/>
    <col min="3601" max="3601" width="7" style="1" customWidth="1"/>
    <col min="3602" max="3602" width="5.5703125" style="1" customWidth="1"/>
    <col min="3603" max="3603" width="6.85546875" style="1" customWidth="1"/>
    <col min="3604" max="3605" width="3.7109375" style="1" customWidth="1"/>
    <col min="3606" max="3606" width="6.28515625" style="1" customWidth="1"/>
    <col min="3607" max="3607" width="6" style="1" customWidth="1"/>
    <col min="3608" max="3614" width="6.28515625" style="1" customWidth="1"/>
    <col min="3615" max="3616" width="5.7109375" style="1" customWidth="1"/>
    <col min="3617" max="3618" width="2.7109375" style="1" customWidth="1"/>
    <col min="3619" max="3840" width="9.140625" style="1"/>
    <col min="3841" max="3842" width="2.7109375" style="1" customWidth="1"/>
    <col min="3843" max="3843" width="5.7109375" style="1" customWidth="1"/>
    <col min="3844" max="3851" width="6.28515625" style="1" customWidth="1"/>
    <col min="3852" max="3852" width="5" style="1" customWidth="1"/>
    <col min="3853" max="3853" width="6.7109375" style="1" customWidth="1"/>
    <col min="3854" max="3856" width="3.7109375" style="1" customWidth="1"/>
    <col min="3857" max="3857" width="7" style="1" customWidth="1"/>
    <col min="3858" max="3858" width="5.5703125" style="1" customWidth="1"/>
    <col min="3859" max="3859" width="6.85546875" style="1" customWidth="1"/>
    <col min="3860" max="3861" width="3.7109375" style="1" customWidth="1"/>
    <col min="3862" max="3862" width="6.28515625" style="1" customWidth="1"/>
    <col min="3863" max="3863" width="6" style="1" customWidth="1"/>
    <col min="3864" max="3870" width="6.28515625" style="1" customWidth="1"/>
    <col min="3871" max="3872" width="5.7109375" style="1" customWidth="1"/>
    <col min="3873" max="3874" width="2.7109375" style="1" customWidth="1"/>
    <col min="3875" max="4096" width="9.140625" style="1"/>
    <col min="4097" max="4098" width="2.7109375" style="1" customWidth="1"/>
    <col min="4099" max="4099" width="5.7109375" style="1" customWidth="1"/>
    <col min="4100" max="4107" width="6.28515625" style="1" customWidth="1"/>
    <col min="4108" max="4108" width="5" style="1" customWidth="1"/>
    <col min="4109" max="4109" width="6.7109375" style="1" customWidth="1"/>
    <col min="4110" max="4112" width="3.7109375" style="1" customWidth="1"/>
    <col min="4113" max="4113" width="7" style="1" customWidth="1"/>
    <col min="4114" max="4114" width="5.5703125" style="1" customWidth="1"/>
    <col min="4115" max="4115" width="6.85546875" style="1" customWidth="1"/>
    <col min="4116" max="4117" width="3.7109375" style="1" customWidth="1"/>
    <col min="4118" max="4118" width="6.28515625" style="1" customWidth="1"/>
    <col min="4119" max="4119" width="6" style="1" customWidth="1"/>
    <col min="4120" max="4126" width="6.28515625" style="1" customWidth="1"/>
    <col min="4127" max="4128" width="5.7109375" style="1" customWidth="1"/>
    <col min="4129" max="4130" width="2.7109375" style="1" customWidth="1"/>
    <col min="4131" max="4352" width="9.140625" style="1"/>
    <col min="4353" max="4354" width="2.7109375" style="1" customWidth="1"/>
    <col min="4355" max="4355" width="5.7109375" style="1" customWidth="1"/>
    <col min="4356" max="4363" width="6.28515625" style="1" customWidth="1"/>
    <col min="4364" max="4364" width="5" style="1" customWidth="1"/>
    <col min="4365" max="4365" width="6.7109375" style="1" customWidth="1"/>
    <col min="4366" max="4368" width="3.7109375" style="1" customWidth="1"/>
    <col min="4369" max="4369" width="7" style="1" customWidth="1"/>
    <col min="4370" max="4370" width="5.5703125" style="1" customWidth="1"/>
    <col min="4371" max="4371" width="6.85546875" style="1" customWidth="1"/>
    <col min="4372" max="4373" width="3.7109375" style="1" customWidth="1"/>
    <col min="4374" max="4374" width="6.28515625" style="1" customWidth="1"/>
    <col min="4375" max="4375" width="6" style="1" customWidth="1"/>
    <col min="4376" max="4382" width="6.28515625" style="1" customWidth="1"/>
    <col min="4383" max="4384" width="5.7109375" style="1" customWidth="1"/>
    <col min="4385" max="4386" width="2.7109375" style="1" customWidth="1"/>
    <col min="4387" max="4608" width="9.140625" style="1"/>
    <col min="4609" max="4610" width="2.7109375" style="1" customWidth="1"/>
    <col min="4611" max="4611" width="5.7109375" style="1" customWidth="1"/>
    <col min="4612" max="4619" width="6.28515625" style="1" customWidth="1"/>
    <col min="4620" max="4620" width="5" style="1" customWidth="1"/>
    <col min="4621" max="4621" width="6.7109375" style="1" customWidth="1"/>
    <col min="4622" max="4624" width="3.7109375" style="1" customWidth="1"/>
    <col min="4625" max="4625" width="7" style="1" customWidth="1"/>
    <col min="4626" max="4626" width="5.5703125" style="1" customWidth="1"/>
    <col min="4627" max="4627" width="6.85546875" style="1" customWidth="1"/>
    <col min="4628" max="4629" width="3.7109375" style="1" customWidth="1"/>
    <col min="4630" max="4630" width="6.28515625" style="1" customWidth="1"/>
    <col min="4631" max="4631" width="6" style="1" customWidth="1"/>
    <col min="4632" max="4638" width="6.28515625" style="1" customWidth="1"/>
    <col min="4639" max="4640" width="5.7109375" style="1" customWidth="1"/>
    <col min="4641" max="4642" width="2.7109375" style="1" customWidth="1"/>
    <col min="4643" max="4864" width="9.140625" style="1"/>
    <col min="4865" max="4866" width="2.7109375" style="1" customWidth="1"/>
    <col min="4867" max="4867" width="5.7109375" style="1" customWidth="1"/>
    <col min="4868" max="4875" width="6.28515625" style="1" customWidth="1"/>
    <col min="4876" max="4876" width="5" style="1" customWidth="1"/>
    <col min="4877" max="4877" width="6.7109375" style="1" customWidth="1"/>
    <col min="4878" max="4880" width="3.7109375" style="1" customWidth="1"/>
    <col min="4881" max="4881" width="7" style="1" customWidth="1"/>
    <col min="4882" max="4882" width="5.5703125" style="1" customWidth="1"/>
    <col min="4883" max="4883" width="6.85546875" style="1" customWidth="1"/>
    <col min="4884" max="4885" width="3.7109375" style="1" customWidth="1"/>
    <col min="4886" max="4886" width="6.28515625" style="1" customWidth="1"/>
    <col min="4887" max="4887" width="6" style="1" customWidth="1"/>
    <col min="4888" max="4894" width="6.28515625" style="1" customWidth="1"/>
    <col min="4895" max="4896" width="5.7109375" style="1" customWidth="1"/>
    <col min="4897" max="4898" width="2.7109375" style="1" customWidth="1"/>
    <col min="4899" max="5120" width="9.140625" style="1"/>
    <col min="5121" max="5122" width="2.7109375" style="1" customWidth="1"/>
    <col min="5123" max="5123" width="5.7109375" style="1" customWidth="1"/>
    <col min="5124" max="5131" width="6.28515625" style="1" customWidth="1"/>
    <col min="5132" max="5132" width="5" style="1" customWidth="1"/>
    <col min="5133" max="5133" width="6.7109375" style="1" customWidth="1"/>
    <col min="5134" max="5136" width="3.7109375" style="1" customWidth="1"/>
    <col min="5137" max="5137" width="7" style="1" customWidth="1"/>
    <col min="5138" max="5138" width="5.5703125" style="1" customWidth="1"/>
    <col min="5139" max="5139" width="6.85546875" style="1" customWidth="1"/>
    <col min="5140" max="5141" width="3.7109375" style="1" customWidth="1"/>
    <col min="5142" max="5142" width="6.28515625" style="1" customWidth="1"/>
    <col min="5143" max="5143" width="6" style="1" customWidth="1"/>
    <col min="5144" max="5150" width="6.28515625" style="1" customWidth="1"/>
    <col min="5151" max="5152" width="5.7109375" style="1" customWidth="1"/>
    <col min="5153" max="5154" width="2.7109375" style="1" customWidth="1"/>
    <col min="5155" max="5376" width="9.140625" style="1"/>
    <col min="5377" max="5378" width="2.7109375" style="1" customWidth="1"/>
    <col min="5379" max="5379" width="5.7109375" style="1" customWidth="1"/>
    <col min="5380" max="5387" width="6.28515625" style="1" customWidth="1"/>
    <col min="5388" max="5388" width="5" style="1" customWidth="1"/>
    <col min="5389" max="5389" width="6.7109375" style="1" customWidth="1"/>
    <col min="5390" max="5392" width="3.7109375" style="1" customWidth="1"/>
    <col min="5393" max="5393" width="7" style="1" customWidth="1"/>
    <col min="5394" max="5394" width="5.5703125" style="1" customWidth="1"/>
    <col min="5395" max="5395" width="6.85546875" style="1" customWidth="1"/>
    <col min="5396" max="5397" width="3.7109375" style="1" customWidth="1"/>
    <col min="5398" max="5398" width="6.28515625" style="1" customWidth="1"/>
    <col min="5399" max="5399" width="6" style="1" customWidth="1"/>
    <col min="5400" max="5406" width="6.28515625" style="1" customWidth="1"/>
    <col min="5407" max="5408" width="5.7109375" style="1" customWidth="1"/>
    <col min="5409" max="5410" width="2.7109375" style="1" customWidth="1"/>
    <col min="5411" max="5632" width="9.140625" style="1"/>
    <col min="5633" max="5634" width="2.7109375" style="1" customWidth="1"/>
    <col min="5635" max="5635" width="5.7109375" style="1" customWidth="1"/>
    <col min="5636" max="5643" width="6.28515625" style="1" customWidth="1"/>
    <col min="5644" max="5644" width="5" style="1" customWidth="1"/>
    <col min="5645" max="5645" width="6.7109375" style="1" customWidth="1"/>
    <col min="5646" max="5648" width="3.7109375" style="1" customWidth="1"/>
    <col min="5649" max="5649" width="7" style="1" customWidth="1"/>
    <col min="5650" max="5650" width="5.5703125" style="1" customWidth="1"/>
    <col min="5651" max="5651" width="6.85546875" style="1" customWidth="1"/>
    <col min="5652" max="5653" width="3.7109375" style="1" customWidth="1"/>
    <col min="5654" max="5654" width="6.28515625" style="1" customWidth="1"/>
    <col min="5655" max="5655" width="6" style="1" customWidth="1"/>
    <col min="5656" max="5662" width="6.28515625" style="1" customWidth="1"/>
    <col min="5663" max="5664" width="5.7109375" style="1" customWidth="1"/>
    <col min="5665" max="5666" width="2.7109375" style="1" customWidth="1"/>
    <col min="5667" max="5888" width="9.140625" style="1"/>
    <col min="5889" max="5890" width="2.7109375" style="1" customWidth="1"/>
    <col min="5891" max="5891" width="5.7109375" style="1" customWidth="1"/>
    <col min="5892" max="5899" width="6.28515625" style="1" customWidth="1"/>
    <col min="5900" max="5900" width="5" style="1" customWidth="1"/>
    <col min="5901" max="5901" width="6.7109375" style="1" customWidth="1"/>
    <col min="5902" max="5904" width="3.7109375" style="1" customWidth="1"/>
    <col min="5905" max="5905" width="7" style="1" customWidth="1"/>
    <col min="5906" max="5906" width="5.5703125" style="1" customWidth="1"/>
    <col min="5907" max="5907" width="6.85546875" style="1" customWidth="1"/>
    <col min="5908" max="5909" width="3.7109375" style="1" customWidth="1"/>
    <col min="5910" max="5910" width="6.28515625" style="1" customWidth="1"/>
    <col min="5911" max="5911" width="6" style="1" customWidth="1"/>
    <col min="5912" max="5918" width="6.28515625" style="1" customWidth="1"/>
    <col min="5919" max="5920" width="5.7109375" style="1" customWidth="1"/>
    <col min="5921" max="5922" width="2.7109375" style="1" customWidth="1"/>
    <col min="5923" max="6144" width="9.140625" style="1"/>
    <col min="6145" max="6146" width="2.7109375" style="1" customWidth="1"/>
    <col min="6147" max="6147" width="5.7109375" style="1" customWidth="1"/>
    <col min="6148" max="6155" width="6.28515625" style="1" customWidth="1"/>
    <col min="6156" max="6156" width="5" style="1" customWidth="1"/>
    <col min="6157" max="6157" width="6.7109375" style="1" customWidth="1"/>
    <col min="6158" max="6160" width="3.7109375" style="1" customWidth="1"/>
    <col min="6161" max="6161" width="7" style="1" customWidth="1"/>
    <col min="6162" max="6162" width="5.5703125" style="1" customWidth="1"/>
    <col min="6163" max="6163" width="6.85546875" style="1" customWidth="1"/>
    <col min="6164" max="6165" width="3.7109375" style="1" customWidth="1"/>
    <col min="6166" max="6166" width="6.28515625" style="1" customWidth="1"/>
    <col min="6167" max="6167" width="6" style="1" customWidth="1"/>
    <col min="6168" max="6174" width="6.28515625" style="1" customWidth="1"/>
    <col min="6175" max="6176" width="5.7109375" style="1" customWidth="1"/>
    <col min="6177" max="6178" width="2.7109375" style="1" customWidth="1"/>
    <col min="6179" max="6400" width="9.140625" style="1"/>
    <col min="6401" max="6402" width="2.7109375" style="1" customWidth="1"/>
    <col min="6403" max="6403" width="5.7109375" style="1" customWidth="1"/>
    <col min="6404" max="6411" width="6.28515625" style="1" customWidth="1"/>
    <col min="6412" max="6412" width="5" style="1" customWidth="1"/>
    <col min="6413" max="6413" width="6.7109375" style="1" customWidth="1"/>
    <col min="6414" max="6416" width="3.7109375" style="1" customWidth="1"/>
    <col min="6417" max="6417" width="7" style="1" customWidth="1"/>
    <col min="6418" max="6418" width="5.5703125" style="1" customWidth="1"/>
    <col min="6419" max="6419" width="6.85546875" style="1" customWidth="1"/>
    <col min="6420" max="6421" width="3.7109375" style="1" customWidth="1"/>
    <col min="6422" max="6422" width="6.28515625" style="1" customWidth="1"/>
    <col min="6423" max="6423" width="6" style="1" customWidth="1"/>
    <col min="6424" max="6430" width="6.28515625" style="1" customWidth="1"/>
    <col min="6431" max="6432" width="5.7109375" style="1" customWidth="1"/>
    <col min="6433" max="6434" width="2.7109375" style="1" customWidth="1"/>
    <col min="6435" max="6656" width="9.140625" style="1"/>
    <col min="6657" max="6658" width="2.7109375" style="1" customWidth="1"/>
    <col min="6659" max="6659" width="5.7109375" style="1" customWidth="1"/>
    <col min="6660" max="6667" width="6.28515625" style="1" customWidth="1"/>
    <col min="6668" max="6668" width="5" style="1" customWidth="1"/>
    <col min="6669" max="6669" width="6.7109375" style="1" customWidth="1"/>
    <col min="6670" max="6672" width="3.7109375" style="1" customWidth="1"/>
    <col min="6673" max="6673" width="7" style="1" customWidth="1"/>
    <col min="6674" max="6674" width="5.5703125" style="1" customWidth="1"/>
    <col min="6675" max="6675" width="6.85546875" style="1" customWidth="1"/>
    <col min="6676" max="6677" width="3.7109375" style="1" customWidth="1"/>
    <col min="6678" max="6678" width="6.28515625" style="1" customWidth="1"/>
    <col min="6679" max="6679" width="6" style="1" customWidth="1"/>
    <col min="6680" max="6686" width="6.28515625" style="1" customWidth="1"/>
    <col min="6687" max="6688" width="5.7109375" style="1" customWidth="1"/>
    <col min="6689" max="6690" width="2.7109375" style="1" customWidth="1"/>
    <col min="6691" max="6912" width="9.140625" style="1"/>
    <col min="6913" max="6914" width="2.7109375" style="1" customWidth="1"/>
    <col min="6915" max="6915" width="5.7109375" style="1" customWidth="1"/>
    <col min="6916" max="6923" width="6.28515625" style="1" customWidth="1"/>
    <col min="6924" max="6924" width="5" style="1" customWidth="1"/>
    <col min="6925" max="6925" width="6.7109375" style="1" customWidth="1"/>
    <col min="6926" max="6928" width="3.7109375" style="1" customWidth="1"/>
    <col min="6929" max="6929" width="7" style="1" customWidth="1"/>
    <col min="6930" max="6930" width="5.5703125" style="1" customWidth="1"/>
    <col min="6931" max="6931" width="6.85546875" style="1" customWidth="1"/>
    <col min="6932" max="6933" width="3.7109375" style="1" customWidth="1"/>
    <col min="6934" max="6934" width="6.28515625" style="1" customWidth="1"/>
    <col min="6935" max="6935" width="6" style="1" customWidth="1"/>
    <col min="6936" max="6942" width="6.28515625" style="1" customWidth="1"/>
    <col min="6943" max="6944" width="5.7109375" style="1" customWidth="1"/>
    <col min="6945" max="6946" width="2.7109375" style="1" customWidth="1"/>
    <col min="6947" max="7168" width="9.140625" style="1"/>
    <col min="7169" max="7170" width="2.7109375" style="1" customWidth="1"/>
    <col min="7171" max="7171" width="5.7109375" style="1" customWidth="1"/>
    <col min="7172" max="7179" width="6.28515625" style="1" customWidth="1"/>
    <col min="7180" max="7180" width="5" style="1" customWidth="1"/>
    <col min="7181" max="7181" width="6.7109375" style="1" customWidth="1"/>
    <col min="7182" max="7184" width="3.7109375" style="1" customWidth="1"/>
    <col min="7185" max="7185" width="7" style="1" customWidth="1"/>
    <col min="7186" max="7186" width="5.5703125" style="1" customWidth="1"/>
    <col min="7187" max="7187" width="6.85546875" style="1" customWidth="1"/>
    <col min="7188" max="7189" width="3.7109375" style="1" customWidth="1"/>
    <col min="7190" max="7190" width="6.28515625" style="1" customWidth="1"/>
    <col min="7191" max="7191" width="6" style="1" customWidth="1"/>
    <col min="7192" max="7198" width="6.28515625" style="1" customWidth="1"/>
    <col min="7199" max="7200" width="5.7109375" style="1" customWidth="1"/>
    <col min="7201" max="7202" width="2.7109375" style="1" customWidth="1"/>
    <col min="7203" max="7424" width="9.140625" style="1"/>
    <col min="7425" max="7426" width="2.7109375" style="1" customWidth="1"/>
    <col min="7427" max="7427" width="5.7109375" style="1" customWidth="1"/>
    <col min="7428" max="7435" width="6.28515625" style="1" customWidth="1"/>
    <col min="7436" max="7436" width="5" style="1" customWidth="1"/>
    <col min="7437" max="7437" width="6.7109375" style="1" customWidth="1"/>
    <col min="7438" max="7440" width="3.7109375" style="1" customWidth="1"/>
    <col min="7441" max="7441" width="7" style="1" customWidth="1"/>
    <col min="7442" max="7442" width="5.5703125" style="1" customWidth="1"/>
    <col min="7443" max="7443" width="6.85546875" style="1" customWidth="1"/>
    <col min="7444" max="7445" width="3.7109375" style="1" customWidth="1"/>
    <col min="7446" max="7446" width="6.28515625" style="1" customWidth="1"/>
    <col min="7447" max="7447" width="6" style="1" customWidth="1"/>
    <col min="7448" max="7454" width="6.28515625" style="1" customWidth="1"/>
    <col min="7455" max="7456" width="5.7109375" style="1" customWidth="1"/>
    <col min="7457" max="7458" width="2.7109375" style="1" customWidth="1"/>
    <col min="7459" max="7680" width="9.140625" style="1"/>
    <col min="7681" max="7682" width="2.7109375" style="1" customWidth="1"/>
    <col min="7683" max="7683" width="5.7109375" style="1" customWidth="1"/>
    <col min="7684" max="7691" width="6.28515625" style="1" customWidth="1"/>
    <col min="7692" max="7692" width="5" style="1" customWidth="1"/>
    <col min="7693" max="7693" width="6.7109375" style="1" customWidth="1"/>
    <col min="7694" max="7696" width="3.7109375" style="1" customWidth="1"/>
    <col min="7697" max="7697" width="7" style="1" customWidth="1"/>
    <col min="7698" max="7698" width="5.5703125" style="1" customWidth="1"/>
    <col min="7699" max="7699" width="6.85546875" style="1" customWidth="1"/>
    <col min="7700" max="7701" width="3.7109375" style="1" customWidth="1"/>
    <col min="7702" max="7702" width="6.28515625" style="1" customWidth="1"/>
    <col min="7703" max="7703" width="6" style="1" customWidth="1"/>
    <col min="7704" max="7710" width="6.28515625" style="1" customWidth="1"/>
    <col min="7711" max="7712" width="5.7109375" style="1" customWidth="1"/>
    <col min="7713" max="7714" width="2.7109375" style="1" customWidth="1"/>
    <col min="7715" max="7936" width="9.140625" style="1"/>
    <col min="7937" max="7938" width="2.7109375" style="1" customWidth="1"/>
    <col min="7939" max="7939" width="5.7109375" style="1" customWidth="1"/>
    <col min="7940" max="7947" width="6.28515625" style="1" customWidth="1"/>
    <col min="7948" max="7948" width="5" style="1" customWidth="1"/>
    <col min="7949" max="7949" width="6.7109375" style="1" customWidth="1"/>
    <col min="7950" max="7952" width="3.7109375" style="1" customWidth="1"/>
    <col min="7953" max="7953" width="7" style="1" customWidth="1"/>
    <col min="7954" max="7954" width="5.5703125" style="1" customWidth="1"/>
    <col min="7955" max="7955" width="6.85546875" style="1" customWidth="1"/>
    <col min="7956" max="7957" width="3.7109375" style="1" customWidth="1"/>
    <col min="7958" max="7958" width="6.28515625" style="1" customWidth="1"/>
    <col min="7959" max="7959" width="6" style="1" customWidth="1"/>
    <col min="7960" max="7966" width="6.28515625" style="1" customWidth="1"/>
    <col min="7967" max="7968" width="5.7109375" style="1" customWidth="1"/>
    <col min="7969" max="7970" width="2.7109375" style="1" customWidth="1"/>
    <col min="7971" max="8192" width="9.140625" style="1"/>
    <col min="8193" max="8194" width="2.7109375" style="1" customWidth="1"/>
    <col min="8195" max="8195" width="5.7109375" style="1" customWidth="1"/>
    <col min="8196" max="8203" width="6.28515625" style="1" customWidth="1"/>
    <col min="8204" max="8204" width="5" style="1" customWidth="1"/>
    <col min="8205" max="8205" width="6.7109375" style="1" customWidth="1"/>
    <col min="8206" max="8208" width="3.7109375" style="1" customWidth="1"/>
    <col min="8209" max="8209" width="7" style="1" customWidth="1"/>
    <col min="8210" max="8210" width="5.5703125" style="1" customWidth="1"/>
    <col min="8211" max="8211" width="6.85546875" style="1" customWidth="1"/>
    <col min="8212" max="8213" width="3.7109375" style="1" customWidth="1"/>
    <col min="8214" max="8214" width="6.28515625" style="1" customWidth="1"/>
    <col min="8215" max="8215" width="6" style="1" customWidth="1"/>
    <col min="8216" max="8222" width="6.28515625" style="1" customWidth="1"/>
    <col min="8223" max="8224" width="5.7109375" style="1" customWidth="1"/>
    <col min="8225" max="8226" width="2.7109375" style="1" customWidth="1"/>
    <col min="8227" max="8448" width="9.140625" style="1"/>
    <col min="8449" max="8450" width="2.7109375" style="1" customWidth="1"/>
    <col min="8451" max="8451" width="5.7109375" style="1" customWidth="1"/>
    <col min="8452" max="8459" width="6.28515625" style="1" customWidth="1"/>
    <col min="8460" max="8460" width="5" style="1" customWidth="1"/>
    <col min="8461" max="8461" width="6.7109375" style="1" customWidth="1"/>
    <col min="8462" max="8464" width="3.7109375" style="1" customWidth="1"/>
    <col min="8465" max="8465" width="7" style="1" customWidth="1"/>
    <col min="8466" max="8466" width="5.5703125" style="1" customWidth="1"/>
    <col min="8467" max="8467" width="6.85546875" style="1" customWidth="1"/>
    <col min="8468" max="8469" width="3.7109375" style="1" customWidth="1"/>
    <col min="8470" max="8470" width="6.28515625" style="1" customWidth="1"/>
    <col min="8471" max="8471" width="6" style="1" customWidth="1"/>
    <col min="8472" max="8478" width="6.28515625" style="1" customWidth="1"/>
    <col min="8479" max="8480" width="5.7109375" style="1" customWidth="1"/>
    <col min="8481" max="8482" width="2.7109375" style="1" customWidth="1"/>
    <col min="8483" max="8704" width="9.140625" style="1"/>
    <col min="8705" max="8706" width="2.7109375" style="1" customWidth="1"/>
    <col min="8707" max="8707" width="5.7109375" style="1" customWidth="1"/>
    <col min="8708" max="8715" width="6.28515625" style="1" customWidth="1"/>
    <col min="8716" max="8716" width="5" style="1" customWidth="1"/>
    <col min="8717" max="8717" width="6.7109375" style="1" customWidth="1"/>
    <col min="8718" max="8720" width="3.7109375" style="1" customWidth="1"/>
    <col min="8721" max="8721" width="7" style="1" customWidth="1"/>
    <col min="8722" max="8722" width="5.5703125" style="1" customWidth="1"/>
    <col min="8723" max="8723" width="6.85546875" style="1" customWidth="1"/>
    <col min="8724" max="8725" width="3.7109375" style="1" customWidth="1"/>
    <col min="8726" max="8726" width="6.28515625" style="1" customWidth="1"/>
    <col min="8727" max="8727" width="6" style="1" customWidth="1"/>
    <col min="8728" max="8734" width="6.28515625" style="1" customWidth="1"/>
    <col min="8735" max="8736" width="5.7109375" style="1" customWidth="1"/>
    <col min="8737" max="8738" width="2.7109375" style="1" customWidth="1"/>
    <col min="8739" max="8960" width="9.140625" style="1"/>
    <col min="8961" max="8962" width="2.7109375" style="1" customWidth="1"/>
    <col min="8963" max="8963" width="5.7109375" style="1" customWidth="1"/>
    <col min="8964" max="8971" width="6.28515625" style="1" customWidth="1"/>
    <col min="8972" max="8972" width="5" style="1" customWidth="1"/>
    <col min="8973" max="8973" width="6.7109375" style="1" customWidth="1"/>
    <col min="8974" max="8976" width="3.7109375" style="1" customWidth="1"/>
    <col min="8977" max="8977" width="7" style="1" customWidth="1"/>
    <col min="8978" max="8978" width="5.5703125" style="1" customWidth="1"/>
    <col min="8979" max="8979" width="6.85546875" style="1" customWidth="1"/>
    <col min="8980" max="8981" width="3.7109375" style="1" customWidth="1"/>
    <col min="8982" max="8982" width="6.28515625" style="1" customWidth="1"/>
    <col min="8983" max="8983" width="6" style="1" customWidth="1"/>
    <col min="8984" max="8990" width="6.28515625" style="1" customWidth="1"/>
    <col min="8991" max="8992" width="5.7109375" style="1" customWidth="1"/>
    <col min="8993" max="8994" width="2.7109375" style="1" customWidth="1"/>
    <col min="8995" max="9216" width="9.140625" style="1"/>
    <col min="9217" max="9218" width="2.7109375" style="1" customWidth="1"/>
    <col min="9219" max="9219" width="5.7109375" style="1" customWidth="1"/>
    <col min="9220" max="9227" width="6.28515625" style="1" customWidth="1"/>
    <col min="9228" max="9228" width="5" style="1" customWidth="1"/>
    <col min="9229" max="9229" width="6.7109375" style="1" customWidth="1"/>
    <col min="9230" max="9232" width="3.7109375" style="1" customWidth="1"/>
    <col min="9233" max="9233" width="7" style="1" customWidth="1"/>
    <col min="9234" max="9234" width="5.5703125" style="1" customWidth="1"/>
    <col min="9235" max="9235" width="6.85546875" style="1" customWidth="1"/>
    <col min="9236" max="9237" width="3.7109375" style="1" customWidth="1"/>
    <col min="9238" max="9238" width="6.28515625" style="1" customWidth="1"/>
    <col min="9239" max="9239" width="6" style="1" customWidth="1"/>
    <col min="9240" max="9246" width="6.28515625" style="1" customWidth="1"/>
    <col min="9247" max="9248" width="5.7109375" style="1" customWidth="1"/>
    <col min="9249" max="9250" width="2.7109375" style="1" customWidth="1"/>
    <col min="9251" max="9472" width="9.140625" style="1"/>
    <col min="9473" max="9474" width="2.7109375" style="1" customWidth="1"/>
    <col min="9475" max="9475" width="5.7109375" style="1" customWidth="1"/>
    <col min="9476" max="9483" width="6.28515625" style="1" customWidth="1"/>
    <col min="9484" max="9484" width="5" style="1" customWidth="1"/>
    <col min="9485" max="9485" width="6.7109375" style="1" customWidth="1"/>
    <col min="9486" max="9488" width="3.7109375" style="1" customWidth="1"/>
    <col min="9489" max="9489" width="7" style="1" customWidth="1"/>
    <col min="9490" max="9490" width="5.5703125" style="1" customWidth="1"/>
    <col min="9491" max="9491" width="6.85546875" style="1" customWidth="1"/>
    <col min="9492" max="9493" width="3.7109375" style="1" customWidth="1"/>
    <col min="9494" max="9494" width="6.28515625" style="1" customWidth="1"/>
    <col min="9495" max="9495" width="6" style="1" customWidth="1"/>
    <col min="9496" max="9502" width="6.28515625" style="1" customWidth="1"/>
    <col min="9503" max="9504" width="5.7109375" style="1" customWidth="1"/>
    <col min="9505" max="9506" width="2.7109375" style="1" customWidth="1"/>
    <col min="9507" max="9728" width="9.140625" style="1"/>
    <col min="9729" max="9730" width="2.7109375" style="1" customWidth="1"/>
    <col min="9731" max="9731" width="5.7109375" style="1" customWidth="1"/>
    <col min="9732" max="9739" width="6.28515625" style="1" customWidth="1"/>
    <col min="9740" max="9740" width="5" style="1" customWidth="1"/>
    <col min="9741" max="9741" width="6.7109375" style="1" customWidth="1"/>
    <col min="9742" max="9744" width="3.7109375" style="1" customWidth="1"/>
    <col min="9745" max="9745" width="7" style="1" customWidth="1"/>
    <col min="9746" max="9746" width="5.5703125" style="1" customWidth="1"/>
    <col min="9747" max="9747" width="6.85546875" style="1" customWidth="1"/>
    <col min="9748" max="9749" width="3.7109375" style="1" customWidth="1"/>
    <col min="9750" max="9750" width="6.28515625" style="1" customWidth="1"/>
    <col min="9751" max="9751" width="6" style="1" customWidth="1"/>
    <col min="9752" max="9758" width="6.28515625" style="1" customWidth="1"/>
    <col min="9759" max="9760" width="5.7109375" style="1" customWidth="1"/>
    <col min="9761" max="9762" width="2.7109375" style="1" customWidth="1"/>
    <col min="9763" max="9984" width="9.140625" style="1"/>
    <col min="9985" max="9986" width="2.7109375" style="1" customWidth="1"/>
    <col min="9987" max="9987" width="5.7109375" style="1" customWidth="1"/>
    <col min="9988" max="9995" width="6.28515625" style="1" customWidth="1"/>
    <col min="9996" max="9996" width="5" style="1" customWidth="1"/>
    <col min="9997" max="9997" width="6.7109375" style="1" customWidth="1"/>
    <col min="9998" max="10000" width="3.7109375" style="1" customWidth="1"/>
    <col min="10001" max="10001" width="7" style="1" customWidth="1"/>
    <col min="10002" max="10002" width="5.5703125" style="1" customWidth="1"/>
    <col min="10003" max="10003" width="6.85546875" style="1" customWidth="1"/>
    <col min="10004" max="10005" width="3.7109375" style="1" customWidth="1"/>
    <col min="10006" max="10006" width="6.28515625" style="1" customWidth="1"/>
    <col min="10007" max="10007" width="6" style="1" customWidth="1"/>
    <col min="10008" max="10014" width="6.28515625" style="1" customWidth="1"/>
    <col min="10015" max="10016" width="5.7109375" style="1" customWidth="1"/>
    <col min="10017" max="10018" width="2.7109375" style="1" customWidth="1"/>
    <col min="10019" max="10240" width="9.140625" style="1"/>
    <col min="10241" max="10242" width="2.7109375" style="1" customWidth="1"/>
    <col min="10243" max="10243" width="5.7109375" style="1" customWidth="1"/>
    <col min="10244" max="10251" width="6.28515625" style="1" customWidth="1"/>
    <col min="10252" max="10252" width="5" style="1" customWidth="1"/>
    <col min="10253" max="10253" width="6.7109375" style="1" customWidth="1"/>
    <col min="10254" max="10256" width="3.7109375" style="1" customWidth="1"/>
    <col min="10257" max="10257" width="7" style="1" customWidth="1"/>
    <col min="10258" max="10258" width="5.5703125" style="1" customWidth="1"/>
    <col min="10259" max="10259" width="6.85546875" style="1" customWidth="1"/>
    <col min="10260" max="10261" width="3.7109375" style="1" customWidth="1"/>
    <col min="10262" max="10262" width="6.28515625" style="1" customWidth="1"/>
    <col min="10263" max="10263" width="6" style="1" customWidth="1"/>
    <col min="10264" max="10270" width="6.28515625" style="1" customWidth="1"/>
    <col min="10271" max="10272" width="5.7109375" style="1" customWidth="1"/>
    <col min="10273" max="10274" width="2.7109375" style="1" customWidth="1"/>
    <col min="10275" max="10496" width="9.140625" style="1"/>
    <col min="10497" max="10498" width="2.7109375" style="1" customWidth="1"/>
    <col min="10499" max="10499" width="5.7109375" style="1" customWidth="1"/>
    <col min="10500" max="10507" width="6.28515625" style="1" customWidth="1"/>
    <col min="10508" max="10508" width="5" style="1" customWidth="1"/>
    <col min="10509" max="10509" width="6.7109375" style="1" customWidth="1"/>
    <col min="10510" max="10512" width="3.7109375" style="1" customWidth="1"/>
    <col min="10513" max="10513" width="7" style="1" customWidth="1"/>
    <col min="10514" max="10514" width="5.5703125" style="1" customWidth="1"/>
    <col min="10515" max="10515" width="6.85546875" style="1" customWidth="1"/>
    <col min="10516" max="10517" width="3.7109375" style="1" customWidth="1"/>
    <col min="10518" max="10518" width="6.28515625" style="1" customWidth="1"/>
    <col min="10519" max="10519" width="6" style="1" customWidth="1"/>
    <col min="10520" max="10526" width="6.28515625" style="1" customWidth="1"/>
    <col min="10527" max="10528" width="5.7109375" style="1" customWidth="1"/>
    <col min="10529" max="10530" width="2.7109375" style="1" customWidth="1"/>
    <col min="10531" max="10752" width="9.140625" style="1"/>
    <col min="10753" max="10754" width="2.7109375" style="1" customWidth="1"/>
    <col min="10755" max="10755" width="5.7109375" style="1" customWidth="1"/>
    <col min="10756" max="10763" width="6.28515625" style="1" customWidth="1"/>
    <col min="10764" max="10764" width="5" style="1" customWidth="1"/>
    <col min="10765" max="10765" width="6.7109375" style="1" customWidth="1"/>
    <col min="10766" max="10768" width="3.7109375" style="1" customWidth="1"/>
    <col min="10769" max="10769" width="7" style="1" customWidth="1"/>
    <col min="10770" max="10770" width="5.5703125" style="1" customWidth="1"/>
    <col min="10771" max="10771" width="6.85546875" style="1" customWidth="1"/>
    <col min="10772" max="10773" width="3.7109375" style="1" customWidth="1"/>
    <col min="10774" max="10774" width="6.28515625" style="1" customWidth="1"/>
    <col min="10775" max="10775" width="6" style="1" customWidth="1"/>
    <col min="10776" max="10782" width="6.28515625" style="1" customWidth="1"/>
    <col min="10783" max="10784" width="5.7109375" style="1" customWidth="1"/>
    <col min="10785" max="10786" width="2.7109375" style="1" customWidth="1"/>
    <col min="10787" max="11008" width="9.140625" style="1"/>
    <col min="11009" max="11010" width="2.7109375" style="1" customWidth="1"/>
    <col min="11011" max="11011" width="5.7109375" style="1" customWidth="1"/>
    <col min="11012" max="11019" width="6.28515625" style="1" customWidth="1"/>
    <col min="11020" max="11020" width="5" style="1" customWidth="1"/>
    <col min="11021" max="11021" width="6.7109375" style="1" customWidth="1"/>
    <col min="11022" max="11024" width="3.7109375" style="1" customWidth="1"/>
    <col min="11025" max="11025" width="7" style="1" customWidth="1"/>
    <col min="11026" max="11026" width="5.5703125" style="1" customWidth="1"/>
    <col min="11027" max="11027" width="6.85546875" style="1" customWidth="1"/>
    <col min="11028" max="11029" width="3.7109375" style="1" customWidth="1"/>
    <col min="11030" max="11030" width="6.28515625" style="1" customWidth="1"/>
    <col min="11031" max="11031" width="6" style="1" customWidth="1"/>
    <col min="11032" max="11038" width="6.28515625" style="1" customWidth="1"/>
    <col min="11039" max="11040" width="5.7109375" style="1" customWidth="1"/>
    <col min="11041" max="11042" width="2.7109375" style="1" customWidth="1"/>
    <col min="11043" max="11264" width="9.140625" style="1"/>
    <col min="11265" max="11266" width="2.7109375" style="1" customWidth="1"/>
    <col min="11267" max="11267" width="5.7109375" style="1" customWidth="1"/>
    <col min="11268" max="11275" width="6.28515625" style="1" customWidth="1"/>
    <col min="11276" max="11276" width="5" style="1" customWidth="1"/>
    <col min="11277" max="11277" width="6.7109375" style="1" customWidth="1"/>
    <col min="11278" max="11280" width="3.7109375" style="1" customWidth="1"/>
    <col min="11281" max="11281" width="7" style="1" customWidth="1"/>
    <col min="11282" max="11282" width="5.5703125" style="1" customWidth="1"/>
    <col min="11283" max="11283" width="6.85546875" style="1" customWidth="1"/>
    <col min="11284" max="11285" width="3.7109375" style="1" customWidth="1"/>
    <col min="11286" max="11286" width="6.28515625" style="1" customWidth="1"/>
    <col min="11287" max="11287" width="6" style="1" customWidth="1"/>
    <col min="11288" max="11294" width="6.28515625" style="1" customWidth="1"/>
    <col min="11295" max="11296" width="5.7109375" style="1" customWidth="1"/>
    <col min="11297" max="11298" width="2.7109375" style="1" customWidth="1"/>
    <col min="11299" max="11520" width="9.140625" style="1"/>
    <col min="11521" max="11522" width="2.7109375" style="1" customWidth="1"/>
    <col min="11523" max="11523" width="5.7109375" style="1" customWidth="1"/>
    <col min="11524" max="11531" width="6.28515625" style="1" customWidth="1"/>
    <col min="11532" max="11532" width="5" style="1" customWidth="1"/>
    <col min="11533" max="11533" width="6.7109375" style="1" customWidth="1"/>
    <col min="11534" max="11536" width="3.7109375" style="1" customWidth="1"/>
    <col min="11537" max="11537" width="7" style="1" customWidth="1"/>
    <col min="11538" max="11538" width="5.5703125" style="1" customWidth="1"/>
    <col min="11539" max="11539" width="6.85546875" style="1" customWidth="1"/>
    <col min="11540" max="11541" width="3.7109375" style="1" customWidth="1"/>
    <col min="11542" max="11542" width="6.28515625" style="1" customWidth="1"/>
    <col min="11543" max="11543" width="6" style="1" customWidth="1"/>
    <col min="11544" max="11550" width="6.28515625" style="1" customWidth="1"/>
    <col min="11551" max="11552" width="5.7109375" style="1" customWidth="1"/>
    <col min="11553" max="11554" width="2.7109375" style="1" customWidth="1"/>
    <col min="11555" max="11776" width="9.140625" style="1"/>
    <col min="11777" max="11778" width="2.7109375" style="1" customWidth="1"/>
    <col min="11779" max="11779" width="5.7109375" style="1" customWidth="1"/>
    <col min="11780" max="11787" width="6.28515625" style="1" customWidth="1"/>
    <col min="11788" max="11788" width="5" style="1" customWidth="1"/>
    <col min="11789" max="11789" width="6.7109375" style="1" customWidth="1"/>
    <col min="11790" max="11792" width="3.7109375" style="1" customWidth="1"/>
    <col min="11793" max="11793" width="7" style="1" customWidth="1"/>
    <col min="11794" max="11794" width="5.5703125" style="1" customWidth="1"/>
    <col min="11795" max="11795" width="6.85546875" style="1" customWidth="1"/>
    <col min="11796" max="11797" width="3.7109375" style="1" customWidth="1"/>
    <col min="11798" max="11798" width="6.28515625" style="1" customWidth="1"/>
    <col min="11799" max="11799" width="6" style="1" customWidth="1"/>
    <col min="11800" max="11806" width="6.28515625" style="1" customWidth="1"/>
    <col min="11807" max="11808" width="5.7109375" style="1" customWidth="1"/>
    <col min="11809" max="11810" width="2.7109375" style="1" customWidth="1"/>
    <col min="11811" max="12032" width="9.140625" style="1"/>
    <col min="12033" max="12034" width="2.7109375" style="1" customWidth="1"/>
    <col min="12035" max="12035" width="5.7109375" style="1" customWidth="1"/>
    <col min="12036" max="12043" width="6.28515625" style="1" customWidth="1"/>
    <col min="12044" max="12044" width="5" style="1" customWidth="1"/>
    <col min="12045" max="12045" width="6.7109375" style="1" customWidth="1"/>
    <col min="12046" max="12048" width="3.7109375" style="1" customWidth="1"/>
    <col min="12049" max="12049" width="7" style="1" customWidth="1"/>
    <col min="12050" max="12050" width="5.5703125" style="1" customWidth="1"/>
    <col min="12051" max="12051" width="6.85546875" style="1" customWidth="1"/>
    <col min="12052" max="12053" width="3.7109375" style="1" customWidth="1"/>
    <col min="12054" max="12054" width="6.28515625" style="1" customWidth="1"/>
    <col min="12055" max="12055" width="6" style="1" customWidth="1"/>
    <col min="12056" max="12062" width="6.28515625" style="1" customWidth="1"/>
    <col min="12063" max="12064" width="5.7109375" style="1" customWidth="1"/>
    <col min="12065" max="12066" width="2.7109375" style="1" customWidth="1"/>
    <col min="12067" max="12288" width="9.140625" style="1"/>
    <col min="12289" max="12290" width="2.7109375" style="1" customWidth="1"/>
    <col min="12291" max="12291" width="5.7109375" style="1" customWidth="1"/>
    <col min="12292" max="12299" width="6.28515625" style="1" customWidth="1"/>
    <col min="12300" max="12300" width="5" style="1" customWidth="1"/>
    <col min="12301" max="12301" width="6.7109375" style="1" customWidth="1"/>
    <col min="12302" max="12304" width="3.7109375" style="1" customWidth="1"/>
    <col min="12305" max="12305" width="7" style="1" customWidth="1"/>
    <col min="12306" max="12306" width="5.5703125" style="1" customWidth="1"/>
    <col min="12307" max="12307" width="6.85546875" style="1" customWidth="1"/>
    <col min="12308" max="12309" width="3.7109375" style="1" customWidth="1"/>
    <col min="12310" max="12310" width="6.28515625" style="1" customWidth="1"/>
    <col min="12311" max="12311" width="6" style="1" customWidth="1"/>
    <col min="12312" max="12318" width="6.28515625" style="1" customWidth="1"/>
    <col min="12319" max="12320" width="5.7109375" style="1" customWidth="1"/>
    <col min="12321" max="12322" width="2.7109375" style="1" customWidth="1"/>
    <col min="12323" max="12544" width="9.140625" style="1"/>
    <col min="12545" max="12546" width="2.7109375" style="1" customWidth="1"/>
    <col min="12547" max="12547" width="5.7109375" style="1" customWidth="1"/>
    <col min="12548" max="12555" width="6.28515625" style="1" customWidth="1"/>
    <col min="12556" max="12556" width="5" style="1" customWidth="1"/>
    <col min="12557" max="12557" width="6.7109375" style="1" customWidth="1"/>
    <col min="12558" max="12560" width="3.7109375" style="1" customWidth="1"/>
    <col min="12561" max="12561" width="7" style="1" customWidth="1"/>
    <col min="12562" max="12562" width="5.5703125" style="1" customWidth="1"/>
    <col min="12563" max="12563" width="6.85546875" style="1" customWidth="1"/>
    <col min="12564" max="12565" width="3.7109375" style="1" customWidth="1"/>
    <col min="12566" max="12566" width="6.28515625" style="1" customWidth="1"/>
    <col min="12567" max="12567" width="6" style="1" customWidth="1"/>
    <col min="12568" max="12574" width="6.28515625" style="1" customWidth="1"/>
    <col min="12575" max="12576" width="5.7109375" style="1" customWidth="1"/>
    <col min="12577" max="12578" width="2.7109375" style="1" customWidth="1"/>
    <col min="12579" max="12800" width="9.140625" style="1"/>
    <col min="12801" max="12802" width="2.7109375" style="1" customWidth="1"/>
    <col min="12803" max="12803" width="5.7109375" style="1" customWidth="1"/>
    <col min="12804" max="12811" width="6.28515625" style="1" customWidth="1"/>
    <col min="12812" max="12812" width="5" style="1" customWidth="1"/>
    <col min="12813" max="12813" width="6.7109375" style="1" customWidth="1"/>
    <col min="12814" max="12816" width="3.7109375" style="1" customWidth="1"/>
    <col min="12817" max="12817" width="7" style="1" customWidth="1"/>
    <col min="12818" max="12818" width="5.5703125" style="1" customWidth="1"/>
    <col min="12819" max="12819" width="6.85546875" style="1" customWidth="1"/>
    <col min="12820" max="12821" width="3.7109375" style="1" customWidth="1"/>
    <col min="12822" max="12822" width="6.28515625" style="1" customWidth="1"/>
    <col min="12823" max="12823" width="6" style="1" customWidth="1"/>
    <col min="12824" max="12830" width="6.28515625" style="1" customWidth="1"/>
    <col min="12831" max="12832" width="5.7109375" style="1" customWidth="1"/>
    <col min="12833" max="12834" width="2.7109375" style="1" customWidth="1"/>
    <col min="12835" max="13056" width="9.140625" style="1"/>
    <col min="13057" max="13058" width="2.7109375" style="1" customWidth="1"/>
    <col min="13059" max="13059" width="5.7109375" style="1" customWidth="1"/>
    <col min="13060" max="13067" width="6.28515625" style="1" customWidth="1"/>
    <col min="13068" max="13068" width="5" style="1" customWidth="1"/>
    <col min="13069" max="13069" width="6.7109375" style="1" customWidth="1"/>
    <col min="13070" max="13072" width="3.7109375" style="1" customWidth="1"/>
    <col min="13073" max="13073" width="7" style="1" customWidth="1"/>
    <col min="13074" max="13074" width="5.5703125" style="1" customWidth="1"/>
    <col min="13075" max="13075" width="6.85546875" style="1" customWidth="1"/>
    <col min="13076" max="13077" width="3.7109375" style="1" customWidth="1"/>
    <col min="13078" max="13078" width="6.28515625" style="1" customWidth="1"/>
    <col min="13079" max="13079" width="6" style="1" customWidth="1"/>
    <col min="13080" max="13086" width="6.28515625" style="1" customWidth="1"/>
    <col min="13087" max="13088" width="5.7109375" style="1" customWidth="1"/>
    <col min="13089" max="13090" width="2.7109375" style="1" customWidth="1"/>
    <col min="13091" max="13312" width="9.140625" style="1"/>
    <col min="13313" max="13314" width="2.7109375" style="1" customWidth="1"/>
    <col min="13315" max="13315" width="5.7109375" style="1" customWidth="1"/>
    <col min="13316" max="13323" width="6.28515625" style="1" customWidth="1"/>
    <col min="13324" max="13324" width="5" style="1" customWidth="1"/>
    <col min="13325" max="13325" width="6.7109375" style="1" customWidth="1"/>
    <col min="13326" max="13328" width="3.7109375" style="1" customWidth="1"/>
    <col min="13329" max="13329" width="7" style="1" customWidth="1"/>
    <col min="13330" max="13330" width="5.5703125" style="1" customWidth="1"/>
    <col min="13331" max="13331" width="6.85546875" style="1" customWidth="1"/>
    <col min="13332" max="13333" width="3.7109375" style="1" customWidth="1"/>
    <col min="13334" max="13334" width="6.28515625" style="1" customWidth="1"/>
    <col min="13335" max="13335" width="6" style="1" customWidth="1"/>
    <col min="13336" max="13342" width="6.28515625" style="1" customWidth="1"/>
    <col min="13343" max="13344" width="5.7109375" style="1" customWidth="1"/>
    <col min="13345" max="13346" width="2.7109375" style="1" customWidth="1"/>
    <col min="13347" max="13568" width="9.140625" style="1"/>
    <col min="13569" max="13570" width="2.7109375" style="1" customWidth="1"/>
    <col min="13571" max="13571" width="5.7109375" style="1" customWidth="1"/>
    <col min="13572" max="13579" width="6.28515625" style="1" customWidth="1"/>
    <col min="13580" max="13580" width="5" style="1" customWidth="1"/>
    <col min="13581" max="13581" width="6.7109375" style="1" customWidth="1"/>
    <col min="13582" max="13584" width="3.7109375" style="1" customWidth="1"/>
    <col min="13585" max="13585" width="7" style="1" customWidth="1"/>
    <col min="13586" max="13586" width="5.5703125" style="1" customWidth="1"/>
    <col min="13587" max="13587" width="6.85546875" style="1" customWidth="1"/>
    <col min="13588" max="13589" width="3.7109375" style="1" customWidth="1"/>
    <col min="13590" max="13590" width="6.28515625" style="1" customWidth="1"/>
    <col min="13591" max="13591" width="6" style="1" customWidth="1"/>
    <col min="13592" max="13598" width="6.28515625" style="1" customWidth="1"/>
    <col min="13599" max="13600" width="5.7109375" style="1" customWidth="1"/>
    <col min="13601" max="13602" width="2.7109375" style="1" customWidth="1"/>
    <col min="13603" max="13824" width="9.140625" style="1"/>
    <col min="13825" max="13826" width="2.7109375" style="1" customWidth="1"/>
    <col min="13827" max="13827" width="5.7109375" style="1" customWidth="1"/>
    <col min="13828" max="13835" width="6.28515625" style="1" customWidth="1"/>
    <col min="13836" max="13836" width="5" style="1" customWidth="1"/>
    <col min="13837" max="13837" width="6.7109375" style="1" customWidth="1"/>
    <col min="13838" max="13840" width="3.7109375" style="1" customWidth="1"/>
    <col min="13841" max="13841" width="7" style="1" customWidth="1"/>
    <col min="13842" max="13842" width="5.5703125" style="1" customWidth="1"/>
    <col min="13843" max="13843" width="6.85546875" style="1" customWidth="1"/>
    <col min="13844" max="13845" width="3.7109375" style="1" customWidth="1"/>
    <col min="13846" max="13846" width="6.28515625" style="1" customWidth="1"/>
    <col min="13847" max="13847" width="6" style="1" customWidth="1"/>
    <col min="13848" max="13854" width="6.28515625" style="1" customWidth="1"/>
    <col min="13855" max="13856" width="5.7109375" style="1" customWidth="1"/>
    <col min="13857" max="13858" width="2.7109375" style="1" customWidth="1"/>
    <col min="13859" max="14080" width="9.140625" style="1"/>
    <col min="14081" max="14082" width="2.7109375" style="1" customWidth="1"/>
    <col min="14083" max="14083" width="5.7109375" style="1" customWidth="1"/>
    <col min="14084" max="14091" width="6.28515625" style="1" customWidth="1"/>
    <col min="14092" max="14092" width="5" style="1" customWidth="1"/>
    <col min="14093" max="14093" width="6.7109375" style="1" customWidth="1"/>
    <col min="14094" max="14096" width="3.7109375" style="1" customWidth="1"/>
    <col min="14097" max="14097" width="7" style="1" customWidth="1"/>
    <col min="14098" max="14098" width="5.5703125" style="1" customWidth="1"/>
    <col min="14099" max="14099" width="6.85546875" style="1" customWidth="1"/>
    <col min="14100" max="14101" width="3.7109375" style="1" customWidth="1"/>
    <col min="14102" max="14102" width="6.28515625" style="1" customWidth="1"/>
    <col min="14103" max="14103" width="6" style="1" customWidth="1"/>
    <col min="14104" max="14110" width="6.28515625" style="1" customWidth="1"/>
    <col min="14111" max="14112" width="5.7109375" style="1" customWidth="1"/>
    <col min="14113" max="14114" width="2.7109375" style="1" customWidth="1"/>
    <col min="14115" max="14336" width="9.140625" style="1"/>
    <col min="14337" max="14338" width="2.7109375" style="1" customWidth="1"/>
    <col min="14339" max="14339" width="5.7109375" style="1" customWidth="1"/>
    <col min="14340" max="14347" width="6.28515625" style="1" customWidth="1"/>
    <col min="14348" max="14348" width="5" style="1" customWidth="1"/>
    <col min="14349" max="14349" width="6.7109375" style="1" customWidth="1"/>
    <col min="14350" max="14352" width="3.7109375" style="1" customWidth="1"/>
    <col min="14353" max="14353" width="7" style="1" customWidth="1"/>
    <col min="14354" max="14354" width="5.5703125" style="1" customWidth="1"/>
    <col min="14355" max="14355" width="6.85546875" style="1" customWidth="1"/>
    <col min="14356" max="14357" width="3.7109375" style="1" customWidth="1"/>
    <col min="14358" max="14358" width="6.28515625" style="1" customWidth="1"/>
    <col min="14359" max="14359" width="6" style="1" customWidth="1"/>
    <col min="14360" max="14366" width="6.28515625" style="1" customWidth="1"/>
    <col min="14367" max="14368" width="5.7109375" style="1" customWidth="1"/>
    <col min="14369" max="14370" width="2.7109375" style="1" customWidth="1"/>
    <col min="14371" max="14592" width="9.140625" style="1"/>
    <col min="14593" max="14594" width="2.7109375" style="1" customWidth="1"/>
    <col min="14595" max="14595" width="5.7109375" style="1" customWidth="1"/>
    <col min="14596" max="14603" width="6.28515625" style="1" customWidth="1"/>
    <col min="14604" max="14604" width="5" style="1" customWidth="1"/>
    <col min="14605" max="14605" width="6.7109375" style="1" customWidth="1"/>
    <col min="14606" max="14608" width="3.7109375" style="1" customWidth="1"/>
    <col min="14609" max="14609" width="7" style="1" customWidth="1"/>
    <col min="14610" max="14610" width="5.5703125" style="1" customWidth="1"/>
    <col min="14611" max="14611" width="6.85546875" style="1" customWidth="1"/>
    <col min="14612" max="14613" width="3.7109375" style="1" customWidth="1"/>
    <col min="14614" max="14614" width="6.28515625" style="1" customWidth="1"/>
    <col min="14615" max="14615" width="6" style="1" customWidth="1"/>
    <col min="14616" max="14622" width="6.28515625" style="1" customWidth="1"/>
    <col min="14623" max="14624" width="5.7109375" style="1" customWidth="1"/>
    <col min="14625" max="14626" width="2.7109375" style="1" customWidth="1"/>
    <col min="14627" max="14848" width="9.140625" style="1"/>
    <col min="14849" max="14850" width="2.7109375" style="1" customWidth="1"/>
    <col min="14851" max="14851" width="5.7109375" style="1" customWidth="1"/>
    <col min="14852" max="14859" width="6.28515625" style="1" customWidth="1"/>
    <col min="14860" max="14860" width="5" style="1" customWidth="1"/>
    <col min="14861" max="14861" width="6.7109375" style="1" customWidth="1"/>
    <col min="14862" max="14864" width="3.7109375" style="1" customWidth="1"/>
    <col min="14865" max="14865" width="7" style="1" customWidth="1"/>
    <col min="14866" max="14866" width="5.5703125" style="1" customWidth="1"/>
    <col min="14867" max="14867" width="6.85546875" style="1" customWidth="1"/>
    <col min="14868" max="14869" width="3.7109375" style="1" customWidth="1"/>
    <col min="14870" max="14870" width="6.28515625" style="1" customWidth="1"/>
    <col min="14871" max="14871" width="6" style="1" customWidth="1"/>
    <col min="14872" max="14878" width="6.28515625" style="1" customWidth="1"/>
    <col min="14879" max="14880" width="5.7109375" style="1" customWidth="1"/>
    <col min="14881" max="14882" width="2.7109375" style="1" customWidth="1"/>
    <col min="14883" max="15104" width="9.140625" style="1"/>
    <col min="15105" max="15106" width="2.7109375" style="1" customWidth="1"/>
    <col min="15107" max="15107" width="5.7109375" style="1" customWidth="1"/>
    <col min="15108" max="15115" width="6.28515625" style="1" customWidth="1"/>
    <col min="15116" max="15116" width="5" style="1" customWidth="1"/>
    <col min="15117" max="15117" width="6.7109375" style="1" customWidth="1"/>
    <col min="15118" max="15120" width="3.7109375" style="1" customWidth="1"/>
    <col min="15121" max="15121" width="7" style="1" customWidth="1"/>
    <col min="15122" max="15122" width="5.5703125" style="1" customWidth="1"/>
    <col min="15123" max="15123" width="6.85546875" style="1" customWidth="1"/>
    <col min="15124" max="15125" width="3.7109375" style="1" customWidth="1"/>
    <col min="15126" max="15126" width="6.28515625" style="1" customWidth="1"/>
    <col min="15127" max="15127" width="6" style="1" customWidth="1"/>
    <col min="15128" max="15134" width="6.28515625" style="1" customWidth="1"/>
    <col min="15135" max="15136" width="5.7109375" style="1" customWidth="1"/>
    <col min="15137" max="15138" width="2.7109375" style="1" customWidth="1"/>
    <col min="15139" max="15360" width="9.140625" style="1"/>
    <col min="15361" max="15362" width="2.7109375" style="1" customWidth="1"/>
    <col min="15363" max="15363" width="5.7109375" style="1" customWidth="1"/>
    <col min="15364" max="15371" width="6.28515625" style="1" customWidth="1"/>
    <col min="15372" max="15372" width="5" style="1" customWidth="1"/>
    <col min="15373" max="15373" width="6.7109375" style="1" customWidth="1"/>
    <col min="15374" max="15376" width="3.7109375" style="1" customWidth="1"/>
    <col min="15377" max="15377" width="7" style="1" customWidth="1"/>
    <col min="15378" max="15378" width="5.5703125" style="1" customWidth="1"/>
    <col min="15379" max="15379" width="6.85546875" style="1" customWidth="1"/>
    <col min="15380" max="15381" width="3.7109375" style="1" customWidth="1"/>
    <col min="15382" max="15382" width="6.28515625" style="1" customWidth="1"/>
    <col min="15383" max="15383" width="6" style="1" customWidth="1"/>
    <col min="15384" max="15390" width="6.28515625" style="1" customWidth="1"/>
    <col min="15391" max="15392" width="5.7109375" style="1" customWidth="1"/>
    <col min="15393" max="15394" width="2.7109375" style="1" customWidth="1"/>
    <col min="15395" max="15616" width="9.140625" style="1"/>
    <col min="15617" max="15618" width="2.7109375" style="1" customWidth="1"/>
    <col min="15619" max="15619" width="5.7109375" style="1" customWidth="1"/>
    <col min="15620" max="15627" width="6.28515625" style="1" customWidth="1"/>
    <col min="15628" max="15628" width="5" style="1" customWidth="1"/>
    <col min="15629" max="15629" width="6.7109375" style="1" customWidth="1"/>
    <col min="15630" max="15632" width="3.7109375" style="1" customWidth="1"/>
    <col min="15633" max="15633" width="7" style="1" customWidth="1"/>
    <col min="15634" max="15634" width="5.5703125" style="1" customWidth="1"/>
    <col min="15635" max="15635" width="6.85546875" style="1" customWidth="1"/>
    <col min="15636" max="15637" width="3.7109375" style="1" customWidth="1"/>
    <col min="15638" max="15638" width="6.28515625" style="1" customWidth="1"/>
    <col min="15639" max="15639" width="6" style="1" customWidth="1"/>
    <col min="15640" max="15646" width="6.28515625" style="1" customWidth="1"/>
    <col min="15647" max="15648" width="5.7109375" style="1" customWidth="1"/>
    <col min="15649" max="15650" width="2.7109375" style="1" customWidth="1"/>
    <col min="15651" max="15872" width="9.140625" style="1"/>
    <col min="15873" max="15874" width="2.7109375" style="1" customWidth="1"/>
    <col min="15875" max="15875" width="5.7109375" style="1" customWidth="1"/>
    <col min="15876" max="15883" width="6.28515625" style="1" customWidth="1"/>
    <col min="15884" max="15884" width="5" style="1" customWidth="1"/>
    <col min="15885" max="15885" width="6.7109375" style="1" customWidth="1"/>
    <col min="15886" max="15888" width="3.7109375" style="1" customWidth="1"/>
    <col min="15889" max="15889" width="7" style="1" customWidth="1"/>
    <col min="15890" max="15890" width="5.5703125" style="1" customWidth="1"/>
    <col min="15891" max="15891" width="6.85546875" style="1" customWidth="1"/>
    <col min="15892" max="15893" width="3.7109375" style="1" customWidth="1"/>
    <col min="15894" max="15894" width="6.28515625" style="1" customWidth="1"/>
    <col min="15895" max="15895" width="6" style="1" customWidth="1"/>
    <col min="15896" max="15902" width="6.28515625" style="1" customWidth="1"/>
    <col min="15903" max="15904" width="5.7109375" style="1" customWidth="1"/>
    <col min="15905" max="15906" width="2.7109375" style="1" customWidth="1"/>
    <col min="15907" max="16128" width="9.140625" style="1"/>
    <col min="16129" max="16130" width="2.7109375" style="1" customWidth="1"/>
    <col min="16131" max="16131" width="5.7109375" style="1" customWidth="1"/>
    <col min="16132" max="16139" width="6.28515625" style="1" customWidth="1"/>
    <col min="16140" max="16140" width="5" style="1" customWidth="1"/>
    <col min="16141" max="16141" width="6.7109375" style="1" customWidth="1"/>
    <col min="16142" max="16144" width="3.7109375" style="1" customWidth="1"/>
    <col min="16145" max="16145" width="7" style="1" customWidth="1"/>
    <col min="16146" max="16146" width="5.5703125" style="1" customWidth="1"/>
    <col min="16147" max="16147" width="6.85546875" style="1" customWidth="1"/>
    <col min="16148" max="16149" width="3.7109375" style="1" customWidth="1"/>
    <col min="16150" max="16150" width="6.28515625" style="1" customWidth="1"/>
    <col min="16151" max="16151" width="6" style="1" customWidth="1"/>
    <col min="16152" max="16158" width="6.28515625" style="1" customWidth="1"/>
    <col min="16159" max="16160" width="5.7109375" style="1" customWidth="1"/>
    <col min="16161" max="16162" width="2.7109375" style="1" customWidth="1"/>
    <col min="16163" max="16384" width="9.140625" style="1"/>
  </cols>
  <sheetData>
    <row r="1" spans="1:33" ht="48" customHeight="1" thickBot="1" x14ac:dyDescent="0.25">
      <c r="B1" s="358" t="s">
        <v>491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F1" s="358"/>
      <c r="AG1" s="358"/>
    </row>
    <row r="2" spans="1:33" ht="12.75" customHeight="1" x14ac:dyDescent="0.2">
      <c r="A2" s="18"/>
      <c r="B2" s="453" t="s">
        <v>85</v>
      </c>
      <c r="C2" s="454"/>
      <c r="D2" s="454"/>
      <c r="E2" s="454"/>
      <c r="F2" s="4" t="s">
        <v>0</v>
      </c>
      <c r="G2" s="476">
        <f ca="1">SetupOverview!D10</f>
        <v>43670</v>
      </c>
      <c r="H2" s="477"/>
      <c r="I2" s="468" t="s">
        <v>7</v>
      </c>
      <c r="J2" s="469"/>
      <c r="K2" s="478" t="str">
        <f>SetupOverview!D11</f>
        <v>01</v>
      </c>
      <c r="L2" s="479"/>
      <c r="M2" s="480"/>
      <c r="N2" s="467" t="s">
        <v>2</v>
      </c>
      <c r="O2" s="468"/>
      <c r="P2" s="468"/>
      <c r="Q2" s="469"/>
      <c r="R2" s="481" t="str">
        <f>SetupOverview!D12</f>
        <v>DB24</v>
      </c>
      <c r="S2" s="479"/>
      <c r="T2" s="479"/>
      <c r="U2" s="480"/>
      <c r="V2" s="467" t="s">
        <v>3</v>
      </c>
      <c r="W2" s="468"/>
      <c r="X2" s="469"/>
      <c r="Y2" s="470">
        <f>SetupOverview!D29</f>
        <v>1148.5</v>
      </c>
      <c r="Z2" s="471"/>
      <c r="AA2" s="467"/>
      <c r="AB2" s="468"/>
      <c r="AC2" s="472"/>
      <c r="AD2" s="472"/>
      <c r="AE2" s="49"/>
      <c r="AF2" s="3"/>
      <c r="AG2" s="63"/>
    </row>
    <row r="3" spans="1:33" ht="12.75" customHeight="1" x14ac:dyDescent="0.2">
      <c r="A3" s="18"/>
      <c r="B3" s="455"/>
      <c r="C3" s="456"/>
      <c r="D3" s="456"/>
      <c r="E3" s="456"/>
      <c r="F3" s="11" t="s">
        <v>4</v>
      </c>
      <c r="G3" s="473" t="str">
        <f>SetupOverview!D13</f>
        <v>START SETUP</v>
      </c>
      <c r="H3" s="474"/>
      <c r="I3" s="341" t="s">
        <v>1</v>
      </c>
      <c r="J3" s="342"/>
      <c r="K3" s="317" t="str">
        <f>SetupOverview!D14</f>
        <v>Zalazone (VW)</v>
      </c>
      <c r="L3" s="318"/>
      <c r="M3" s="319"/>
      <c r="N3" s="475" t="s">
        <v>5</v>
      </c>
      <c r="O3" s="341"/>
      <c r="P3" s="341"/>
      <c r="Q3" s="342"/>
      <c r="R3" s="317" t="str">
        <f>SetupOverview!D18</f>
        <v>Mark Coombes</v>
      </c>
      <c r="S3" s="318"/>
      <c r="T3" s="318"/>
      <c r="U3" s="319"/>
      <c r="V3" s="475" t="s">
        <v>6</v>
      </c>
      <c r="W3" s="341"/>
      <c r="X3" s="342"/>
      <c r="Y3" s="317">
        <f>SetupOverview!D20</f>
        <v>102</v>
      </c>
      <c r="Z3" s="319"/>
      <c r="AA3" s="475"/>
      <c r="AB3" s="341"/>
      <c r="AC3" s="482"/>
      <c r="AD3" s="483"/>
      <c r="AE3" s="13"/>
      <c r="AF3" s="7"/>
      <c r="AG3" s="64"/>
    </row>
    <row r="4" spans="1:33" ht="13.5" customHeight="1" thickBot="1" x14ac:dyDescent="0.25">
      <c r="A4" s="18"/>
      <c r="B4" s="457"/>
      <c r="C4" s="458"/>
      <c r="D4" s="458"/>
      <c r="E4" s="458"/>
      <c r="F4" s="8" t="s">
        <v>52</v>
      </c>
      <c r="G4" s="459" t="str">
        <f>SetupOverview!D15</f>
        <v>Alan Cocks</v>
      </c>
      <c r="H4" s="460"/>
      <c r="I4" s="461" t="s">
        <v>53</v>
      </c>
      <c r="J4" s="462"/>
      <c r="K4" s="459" t="str">
        <f>SetupOverview!D16</f>
        <v>Danny King</v>
      </c>
      <c r="L4" s="463"/>
      <c r="M4" s="460"/>
      <c r="N4" s="464" t="s">
        <v>54</v>
      </c>
      <c r="O4" s="461"/>
      <c r="P4" s="461"/>
      <c r="Q4" s="462"/>
      <c r="R4" s="459" t="str">
        <f>SetupOverview!D17</f>
        <v>Mark Coombes</v>
      </c>
      <c r="S4" s="463"/>
      <c r="T4" s="463"/>
      <c r="U4" s="460"/>
      <c r="V4" s="464"/>
      <c r="W4" s="461"/>
      <c r="X4" s="461"/>
      <c r="Y4" s="465"/>
      <c r="Z4" s="465"/>
      <c r="AA4" s="461"/>
      <c r="AB4" s="461"/>
      <c r="AC4" s="466"/>
      <c r="AD4" s="466"/>
      <c r="AE4" s="15"/>
      <c r="AF4" s="39"/>
      <c r="AG4" s="65"/>
    </row>
    <row r="5" spans="1:33" ht="13.5" thickBot="1" x14ac:dyDescent="0.25">
      <c r="B5" s="5"/>
      <c r="C5" s="6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59"/>
    </row>
    <row r="6" spans="1:33" x14ac:dyDescent="0.2">
      <c r="B6" s="5"/>
      <c r="C6" s="6"/>
      <c r="D6" s="9"/>
      <c r="E6" s="390"/>
      <c r="F6" s="390"/>
      <c r="G6" s="391"/>
      <c r="H6" s="375" t="s">
        <v>8</v>
      </c>
      <c r="I6" s="376"/>
      <c r="J6" s="376"/>
      <c r="K6" s="10"/>
      <c r="L6" s="10"/>
      <c r="M6" s="49"/>
      <c r="N6" s="49"/>
      <c r="O6" s="49"/>
      <c r="P6" s="49"/>
      <c r="Q6" s="49"/>
      <c r="R6" s="49"/>
      <c r="S6" s="49"/>
      <c r="T6" s="49"/>
      <c r="U6" s="49"/>
      <c r="V6" s="2"/>
      <c r="W6" s="2"/>
      <c r="X6" s="49"/>
      <c r="Y6" s="49"/>
      <c r="Z6" s="2"/>
      <c r="AA6" s="50"/>
      <c r="AB6" s="13"/>
      <c r="AC6" s="13"/>
      <c r="AD6" s="9"/>
      <c r="AE6" s="9"/>
      <c r="AF6" s="9"/>
      <c r="AG6" s="59"/>
    </row>
    <row r="7" spans="1:33" x14ac:dyDescent="0.2">
      <c r="B7" s="5"/>
      <c r="C7" s="6"/>
      <c r="D7" s="9"/>
      <c r="E7" s="341"/>
      <c r="F7" s="341"/>
      <c r="G7" s="379"/>
      <c r="H7" s="340" t="s">
        <v>46</v>
      </c>
      <c r="I7" s="341"/>
      <c r="J7" s="342"/>
      <c r="K7" s="317" t="str">
        <f>SetupOverview!D97</f>
        <v>none</v>
      </c>
      <c r="L7" s="318"/>
      <c r="M7" s="319"/>
      <c r="N7" s="48"/>
      <c r="O7" s="11"/>
      <c r="P7" s="11"/>
      <c r="Q7" s="12" t="s">
        <v>86</v>
      </c>
      <c r="R7" s="449" t="str">
        <f>SetupOverview!D98</f>
        <v>yes</v>
      </c>
      <c r="S7" s="450"/>
      <c r="T7" s="450"/>
      <c r="U7" s="451"/>
      <c r="V7" s="395" t="s">
        <v>88</v>
      </c>
      <c r="W7" s="396"/>
      <c r="X7" s="397"/>
      <c r="Y7" s="449" t="str">
        <f>SetupOverview!D99</f>
        <v>yes</v>
      </c>
      <c r="Z7" s="451"/>
      <c r="AA7" s="51"/>
      <c r="AB7" s="343"/>
      <c r="AC7" s="343"/>
      <c r="AD7" s="343"/>
      <c r="AE7" s="9"/>
      <c r="AF7" s="9"/>
      <c r="AG7" s="59"/>
    </row>
    <row r="8" spans="1:33" x14ac:dyDescent="0.2">
      <c r="B8" s="5"/>
      <c r="C8" s="6"/>
      <c r="D8" s="9"/>
      <c r="E8" s="440"/>
      <c r="F8" s="440"/>
      <c r="G8" s="441"/>
      <c r="H8" s="442" t="s">
        <v>89</v>
      </c>
      <c r="I8" s="440"/>
      <c r="J8" s="443"/>
      <c r="K8" s="444" t="str">
        <f>SetupOverview!D100</f>
        <v>yes</v>
      </c>
      <c r="L8" s="445"/>
      <c r="M8" s="446"/>
      <c r="N8" s="447" t="s">
        <v>87</v>
      </c>
      <c r="O8" s="447"/>
      <c r="P8" s="447"/>
      <c r="Q8" s="448"/>
      <c r="R8" s="449" t="str">
        <f>SetupOverview!D101</f>
        <v>yes</v>
      </c>
      <c r="S8" s="450"/>
      <c r="T8" s="450"/>
      <c r="U8" s="451"/>
      <c r="V8" s="396"/>
      <c r="W8" s="396"/>
      <c r="X8" s="396"/>
      <c r="Y8" s="452"/>
      <c r="Z8" s="452"/>
      <c r="AA8" s="51"/>
      <c r="AB8" s="343"/>
      <c r="AC8" s="343"/>
      <c r="AD8" s="9"/>
      <c r="AE8" s="9"/>
      <c r="AF8" s="9"/>
      <c r="AG8" s="59"/>
    </row>
    <row r="9" spans="1:33" x14ac:dyDescent="0.2">
      <c r="B9" s="5"/>
      <c r="C9" s="6"/>
      <c r="D9" s="9"/>
      <c r="E9" s="341"/>
      <c r="F9" s="341"/>
      <c r="G9" s="379"/>
      <c r="H9" s="340" t="s">
        <v>29</v>
      </c>
      <c r="I9" s="341"/>
      <c r="J9" s="342"/>
      <c r="K9" s="317" t="str">
        <f>IF(SetupOverview!D102="","",SetupOverview!D102)</f>
        <v/>
      </c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9"/>
      <c r="AA9" s="51"/>
      <c r="AB9" s="343"/>
      <c r="AC9" s="343"/>
      <c r="AD9" s="343"/>
      <c r="AE9" s="9"/>
      <c r="AF9" s="9"/>
      <c r="AG9" s="59"/>
    </row>
    <row r="10" spans="1:33" ht="13.5" thickBot="1" x14ac:dyDescent="0.25">
      <c r="B10" s="5"/>
      <c r="C10" s="6"/>
      <c r="D10" s="9"/>
      <c r="E10" s="345"/>
      <c r="F10" s="345"/>
      <c r="G10" s="372"/>
      <c r="H10" s="373"/>
      <c r="I10" s="374"/>
      <c r="J10" s="374"/>
      <c r="K10" s="52"/>
      <c r="L10" s="52"/>
      <c r="M10" s="52"/>
      <c r="N10" s="52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4"/>
      <c r="AB10" s="14"/>
      <c r="AC10" s="14"/>
      <c r="AD10" s="9"/>
      <c r="AE10" s="9"/>
      <c r="AF10" s="9"/>
      <c r="AG10" s="59"/>
    </row>
    <row r="11" spans="1:33" ht="14.25" thickTop="1" thickBot="1" x14ac:dyDescent="0.25">
      <c r="B11" s="5"/>
      <c r="C11" s="6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14"/>
      <c r="AC11" s="14"/>
      <c r="AD11" s="9"/>
      <c r="AE11" s="9"/>
      <c r="AF11" s="9"/>
      <c r="AG11" s="59"/>
    </row>
    <row r="12" spans="1:33" x14ac:dyDescent="0.2">
      <c r="B12" s="5"/>
      <c r="C12" s="359" t="s">
        <v>59</v>
      </c>
      <c r="D12" s="360"/>
      <c r="E12" s="360"/>
      <c r="F12" s="360"/>
      <c r="G12" s="175"/>
      <c r="H12" s="175"/>
      <c r="I12" s="175"/>
      <c r="J12" s="176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169"/>
      <c r="Z12" s="170"/>
      <c r="AA12" s="170"/>
      <c r="AB12" s="171"/>
      <c r="AC12" s="352" t="s">
        <v>21</v>
      </c>
      <c r="AD12" s="352"/>
      <c r="AE12" s="352"/>
      <c r="AF12" s="353"/>
      <c r="AG12" s="59"/>
    </row>
    <row r="13" spans="1:33" x14ac:dyDescent="0.2">
      <c r="B13" s="5"/>
      <c r="C13" s="361"/>
      <c r="D13" s="362"/>
      <c r="E13" s="362"/>
      <c r="F13" s="362"/>
      <c r="G13" s="398" t="s">
        <v>367</v>
      </c>
      <c r="H13" s="398"/>
      <c r="I13" s="398" t="s">
        <v>35</v>
      </c>
      <c r="J13" s="364"/>
      <c r="K13" s="9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9"/>
      <c r="Y13" s="436" t="s">
        <v>35</v>
      </c>
      <c r="Z13" s="398"/>
      <c r="AA13" s="398" t="s">
        <v>367</v>
      </c>
      <c r="AB13" s="398"/>
      <c r="AC13" s="354"/>
      <c r="AD13" s="354"/>
      <c r="AE13" s="354"/>
      <c r="AF13" s="355"/>
      <c r="AG13" s="59"/>
    </row>
    <row r="14" spans="1:33" x14ac:dyDescent="0.2">
      <c r="B14" s="5"/>
      <c r="C14" s="357" t="s">
        <v>26</v>
      </c>
      <c r="D14" s="504"/>
      <c r="E14" s="507">
        <f>SetupOverview!D44</f>
        <v>-2.5</v>
      </c>
      <c r="F14" s="508"/>
      <c r="G14" s="543"/>
      <c r="H14" s="485"/>
      <c r="I14" s="484">
        <f>IF(SetupOverview!D48="","",SetupOverview!D48)</f>
        <v>20</v>
      </c>
      <c r="J14" s="593"/>
      <c r="K14" s="155"/>
      <c r="L14" s="6"/>
      <c r="M14" s="41"/>
      <c r="N14" s="6"/>
      <c r="O14" s="6"/>
      <c r="P14" s="6"/>
      <c r="Q14" s="6"/>
      <c r="R14" s="6"/>
      <c r="S14" s="6"/>
      <c r="T14" s="6"/>
      <c r="U14" s="6"/>
      <c r="V14" s="41"/>
      <c r="W14" s="41"/>
      <c r="X14" s="44"/>
      <c r="Y14" s="544">
        <f>IF(SetupOverview!D49="","",SetupOverview!D49)</f>
        <v>20</v>
      </c>
      <c r="Z14" s="485"/>
      <c r="AA14" s="552"/>
      <c r="AB14" s="547"/>
      <c r="AC14" s="598">
        <f>SetupOverview!D44</f>
        <v>-2.5</v>
      </c>
      <c r="AD14" s="599"/>
      <c r="AE14" s="313" t="s">
        <v>25</v>
      </c>
      <c r="AF14" s="356"/>
      <c r="AG14" s="59"/>
    </row>
    <row r="15" spans="1:33" x14ac:dyDescent="0.2">
      <c r="B15" s="5"/>
      <c r="C15" s="357"/>
      <c r="D15" s="504"/>
      <c r="E15" s="509"/>
      <c r="F15" s="510"/>
      <c r="G15" s="516"/>
      <c r="H15" s="487"/>
      <c r="I15" s="486"/>
      <c r="J15" s="594"/>
      <c r="K15" s="331"/>
      <c r="L15" s="331"/>
      <c r="M15" s="331"/>
      <c r="N15" s="345"/>
      <c r="O15" s="345"/>
      <c r="P15" s="345"/>
      <c r="Q15" s="345"/>
      <c r="R15" s="345"/>
      <c r="S15" s="345"/>
      <c r="T15" s="345"/>
      <c r="U15" s="345"/>
      <c r="V15" s="44"/>
      <c r="W15" s="44"/>
      <c r="X15" s="44"/>
      <c r="Y15" s="545"/>
      <c r="Z15" s="487"/>
      <c r="AA15" s="548"/>
      <c r="AB15" s="549"/>
      <c r="AC15" s="600"/>
      <c r="AD15" s="601"/>
      <c r="AE15" s="313"/>
      <c r="AF15" s="356"/>
      <c r="AG15" s="59"/>
    </row>
    <row r="16" spans="1:33" x14ac:dyDescent="0.2">
      <c r="B16" s="5"/>
      <c r="C16" s="357" t="s">
        <v>23</v>
      </c>
      <c r="D16" s="504"/>
      <c r="E16" s="524" t="str">
        <f>SetupOverview!D53</f>
        <v>-2.5 OUT</v>
      </c>
      <c r="F16" s="497"/>
      <c r="G16" s="515"/>
      <c r="H16" s="485"/>
      <c r="I16" s="180"/>
      <c r="J16" s="177"/>
      <c r="K16" s="331"/>
      <c r="L16" s="331"/>
      <c r="M16" s="331"/>
      <c r="N16" s="345"/>
      <c r="O16" s="345"/>
      <c r="P16" s="345"/>
      <c r="Q16" s="345"/>
      <c r="R16" s="345"/>
      <c r="S16" s="345"/>
      <c r="T16" s="345"/>
      <c r="U16" s="345"/>
      <c r="V16" s="324"/>
      <c r="W16" s="324"/>
      <c r="X16" s="324"/>
      <c r="Y16" s="172"/>
      <c r="Z16" s="163"/>
      <c r="AA16" s="546"/>
      <c r="AB16" s="547"/>
      <c r="AC16" s="492" t="str">
        <f>SetupOverview!D54</f>
        <v>-2.5 OUT</v>
      </c>
      <c r="AD16" s="493"/>
      <c r="AE16" s="313" t="s">
        <v>23</v>
      </c>
      <c r="AF16" s="356"/>
      <c r="AG16" s="59"/>
    </row>
    <row r="17" spans="2:59" x14ac:dyDescent="0.2">
      <c r="B17" s="5"/>
      <c r="C17" s="357"/>
      <c r="D17" s="504"/>
      <c r="E17" s="525"/>
      <c r="F17" s="499"/>
      <c r="G17" s="516"/>
      <c r="H17" s="487"/>
      <c r="I17" s="350"/>
      <c r="J17" s="364"/>
      <c r="K17" s="331"/>
      <c r="L17" s="331"/>
      <c r="M17" s="331"/>
      <c r="N17" s="596"/>
      <c r="O17" s="596"/>
      <c r="P17" s="596"/>
      <c r="Q17" s="596"/>
      <c r="R17" s="597"/>
      <c r="S17" s="597"/>
      <c r="T17" s="597"/>
      <c r="U17" s="597"/>
      <c r="V17" s="551"/>
      <c r="W17" s="551"/>
      <c r="X17" s="551"/>
      <c r="Y17" s="550"/>
      <c r="Z17" s="314"/>
      <c r="AA17" s="548"/>
      <c r="AB17" s="549"/>
      <c r="AC17" s="494"/>
      <c r="AD17" s="495"/>
      <c r="AE17" s="313"/>
      <c r="AF17" s="356"/>
      <c r="AG17" s="59"/>
    </row>
    <row r="18" spans="2:59" ht="12.75" customHeight="1" x14ac:dyDescent="0.2">
      <c r="B18" s="5"/>
      <c r="C18" s="357" t="s">
        <v>28</v>
      </c>
      <c r="D18" s="504"/>
      <c r="E18" s="526">
        <f>SetupOverview!D36</f>
        <v>134</v>
      </c>
      <c r="F18" s="489"/>
      <c r="G18" s="543"/>
      <c r="H18" s="485"/>
      <c r="I18" s="178"/>
      <c r="J18" s="179"/>
      <c r="K18" s="331"/>
      <c r="L18" s="331"/>
      <c r="M18" s="331"/>
      <c r="N18" s="345"/>
      <c r="O18" s="345"/>
      <c r="P18" s="345"/>
      <c r="Q18" s="345"/>
      <c r="R18" s="363"/>
      <c r="S18" s="363"/>
      <c r="T18" s="363"/>
      <c r="U18" s="363"/>
      <c r="V18" s="324"/>
      <c r="W18" s="324"/>
      <c r="X18" s="324"/>
      <c r="Y18" s="172"/>
      <c r="Z18" s="163"/>
      <c r="AA18" s="552"/>
      <c r="AB18" s="547"/>
      <c r="AC18" s="488">
        <f>SetupOverview!D37</f>
        <v>134</v>
      </c>
      <c r="AD18" s="489"/>
      <c r="AE18" s="313" t="s">
        <v>28</v>
      </c>
      <c r="AF18" s="356"/>
      <c r="AG18" s="59"/>
    </row>
    <row r="19" spans="2:59" ht="13.5" customHeight="1" x14ac:dyDescent="0.2">
      <c r="B19" s="5"/>
      <c r="C19" s="357"/>
      <c r="D19" s="504"/>
      <c r="E19" s="527"/>
      <c r="F19" s="491"/>
      <c r="G19" s="516"/>
      <c r="H19" s="487"/>
      <c r="I19" s="330" t="s">
        <v>36</v>
      </c>
      <c r="J19" s="592"/>
      <c r="K19" s="365"/>
      <c r="L19" s="365"/>
      <c r="M19" s="365"/>
      <c r="N19" s="345"/>
      <c r="O19" s="345"/>
      <c r="P19" s="345"/>
      <c r="Q19" s="345"/>
      <c r="R19" s="196"/>
      <c r="S19" s="196"/>
      <c r="T19" s="208"/>
      <c r="U19" s="208"/>
      <c r="V19" s="324"/>
      <c r="W19" s="324"/>
      <c r="X19" s="324"/>
      <c r="Y19" s="550" t="s">
        <v>36</v>
      </c>
      <c r="Z19" s="314"/>
      <c r="AA19" s="548"/>
      <c r="AB19" s="549"/>
      <c r="AC19" s="490"/>
      <c r="AD19" s="491"/>
      <c r="AE19" s="313"/>
      <c r="AF19" s="356"/>
      <c r="AG19" s="59"/>
    </row>
    <row r="20" spans="2:59" x14ac:dyDescent="0.2">
      <c r="B20" s="5"/>
      <c r="C20" s="357" t="s">
        <v>27</v>
      </c>
      <c r="D20" s="504"/>
      <c r="E20" s="526">
        <f>-E18+167</f>
        <v>33</v>
      </c>
      <c r="F20" s="488"/>
      <c r="G20" s="488"/>
      <c r="H20" s="489"/>
      <c r="I20" s="543">
        <f>IF(SetupOverview!D39="","",SetupOverview!D39)</f>
        <v>30</v>
      </c>
      <c r="J20" s="593"/>
      <c r="K20" s="331"/>
      <c r="L20" s="331"/>
      <c r="M20" s="331"/>
      <c r="N20" s="345"/>
      <c r="O20" s="345"/>
      <c r="P20" s="345"/>
      <c r="Q20" s="345"/>
      <c r="R20" s="345"/>
      <c r="S20" s="345"/>
      <c r="T20" s="345"/>
      <c r="U20" s="345"/>
      <c r="V20" s="43"/>
      <c r="W20" s="43"/>
      <c r="X20" s="44"/>
      <c r="Y20" s="544">
        <f>IF(SetupOverview!D40="","",SetupOverview!D40)</f>
        <v>30</v>
      </c>
      <c r="Z20" s="595"/>
      <c r="AA20" s="526">
        <f>-AC18+167</f>
        <v>33</v>
      </c>
      <c r="AB20" s="488"/>
      <c r="AC20" s="488"/>
      <c r="AD20" s="489"/>
      <c r="AE20" s="313" t="s">
        <v>27</v>
      </c>
      <c r="AF20" s="356"/>
      <c r="AG20" s="59"/>
    </row>
    <row r="21" spans="2:59" x14ac:dyDescent="0.2">
      <c r="B21" s="5"/>
      <c r="C21" s="357"/>
      <c r="D21" s="504"/>
      <c r="E21" s="527"/>
      <c r="F21" s="490"/>
      <c r="G21" s="490"/>
      <c r="H21" s="491"/>
      <c r="I21" s="516"/>
      <c r="J21" s="594"/>
      <c r="K21" s="331"/>
      <c r="L21" s="331"/>
      <c r="M21" s="331"/>
      <c r="N21" s="363"/>
      <c r="O21" s="363"/>
      <c r="P21" s="363"/>
      <c r="Q21" s="363"/>
      <c r="R21" s="363"/>
      <c r="S21" s="363"/>
      <c r="T21" s="363"/>
      <c r="U21" s="209"/>
      <c r="V21" s="101"/>
      <c r="W21" s="101"/>
      <c r="X21" s="101"/>
      <c r="Y21" s="545"/>
      <c r="Z21" s="516"/>
      <c r="AA21" s="527"/>
      <c r="AB21" s="490"/>
      <c r="AC21" s="490"/>
      <c r="AD21" s="491"/>
      <c r="AE21" s="313"/>
      <c r="AF21" s="356"/>
      <c r="AG21" s="59"/>
      <c r="AJ21" s="17"/>
      <c r="AK21" s="17"/>
      <c r="AL21" s="17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</row>
    <row r="22" spans="2:59" x14ac:dyDescent="0.2">
      <c r="B22" s="5"/>
      <c r="C22" s="357" t="s">
        <v>13</v>
      </c>
      <c r="D22" s="314"/>
      <c r="E22" s="314"/>
      <c r="F22" s="314"/>
      <c r="G22" s="181"/>
      <c r="H22" s="159"/>
      <c r="I22" s="159"/>
      <c r="J22" s="182"/>
      <c r="K22" s="331"/>
      <c r="L22" s="331"/>
      <c r="M22" s="331"/>
      <c r="N22" s="363"/>
      <c r="O22" s="363"/>
      <c r="P22" s="363"/>
      <c r="Q22" s="363"/>
      <c r="R22" s="363"/>
      <c r="S22" s="363"/>
      <c r="T22" s="363"/>
      <c r="U22" s="209"/>
      <c r="V22" s="101"/>
      <c r="W22" s="101"/>
      <c r="X22" s="101"/>
      <c r="Y22" s="173"/>
      <c r="Z22" s="159"/>
      <c r="AA22" s="159"/>
      <c r="AB22" s="174"/>
      <c r="AC22" s="314" t="s">
        <v>13</v>
      </c>
      <c r="AD22" s="314"/>
      <c r="AE22" s="314"/>
      <c r="AF22" s="356"/>
      <c r="AG22" s="59"/>
      <c r="AJ22" s="18"/>
      <c r="AK22" s="18"/>
      <c r="AL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</row>
    <row r="23" spans="2:59" x14ac:dyDescent="0.2">
      <c r="B23" s="5"/>
      <c r="C23" s="574" t="s">
        <v>14</v>
      </c>
      <c r="D23" s="575"/>
      <c r="E23" s="575"/>
      <c r="F23" s="575"/>
      <c r="G23" s="578">
        <f>IF(SetupOverview!D21="","",SetupOverview!D21)</f>
        <v>184</v>
      </c>
      <c r="H23" s="579"/>
      <c r="I23" s="579"/>
      <c r="J23" s="580"/>
      <c r="K23" s="93"/>
      <c r="L23" s="93"/>
      <c r="M23" s="93"/>
      <c r="N23" s="31"/>
      <c r="O23" s="31"/>
      <c r="P23" s="31"/>
      <c r="Q23" s="31"/>
      <c r="R23" s="31"/>
      <c r="S23" s="31"/>
      <c r="T23" s="31"/>
      <c r="U23" s="31"/>
      <c r="V23" s="101"/>
      <c r="W23" s="101"/>
      <c r="X23" s="44"/>
      <c r="Y23" s="584">
        <f>IF(SetupOverview!D22="","",SetupOverview!D22)</f>
        <v>183.5</v>
      </c>
      <c r="Z23" s="579"/>
      <c r="AA23" s="579"/>
      <c r="AB23" s="585"/>
      <c r="AC23" s="520" t="s">
        <v>14</v>
      </c>
      <c r="AD23" s="520"/>
      <c r="AE23" s="520"/>
      <c r="AF23" s="589"/>
      <c r="AG23" s="59"/>
      <c r="AJ23" s="18"/>
      <c r="AK23" s="18"/>
      <c r="AL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</row>
    <row r="24" spans="2:59" ht="13.5" thickBot="1" x14ac:dyDescent="0.25">
      <c r="B24" s="5"/>
      <c r="C24" s="576"/>
      <c r="D24" s="577"/>
      <c r="E24" s="577"/>
      <c r="F24" s="577"/>
      <c r="G24" s="581"/>
      <c r="H24" s="582"/>
      <c r="I24" s="582"/>
      <c r="J24" s="583"/>
      <c r="K24" s="58"/>
      <c r="L24" s="58"/>
      <c r="M24" s="58"/>
      <c r="N24" s="196"/>
      <c r="O24" s="196"/>
      <c r="P24" s="196"/>
      <c r="Q24" s="196"/>
      <c r="R24" s="196"/>
      <c r="S24" s="196"/>
      <c r="T24" s="196"/>
      <c r="U24" s="196"/>
      <c r="V24" s="57"/>
      <c r="W24" s="57"/>
      <c r="X24" s="9"/>
      <c r="Y24" s="586"/>
      <c r="Z24" s="587"/>
      <c r="AA24" s="587"/>
      <c r="AB24" s="588"/>
      <c r="AC24" s="590"/>
      <c r="AD24" s="590"/>
      <c r="AE24" s="590"/>
      <c r="AF24" s="591"/>
      <c r="AG24" s="59"/>
      <c r="AJ24" s="18"/>
      <c r="AK24" s="18"/>
      <c r="AL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</row>
    <row r="25" spans="2:59" ht="14.25" thickTop="1" thickBot="1" x14ac:dyDescent="0.25">
      <c r="B25" s="5"/>
      <c r="C25" s="43"/>
      <c r="D25" s="41"/>
      <c r="E25" s="41"/>
      <c r="F25" s="42"/>
      <c r="G25" s="42"/>
      <c r="H25" s="41"/>
      <c r="I25" s="6"/>
      <c r="J25" s="6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345"/>
      <c r="Z25" s="345"/>
      <c r="AA25" s="430"/>
      <c r="AB25" s="430"/>
      <c r="AC25" s="365"/>
      <c r="AD25" s="365"/>
      <c r="AE25" s="431"/>
      <c r="AF25" s="431"/>
      <c r="AG25" s="59"/>
      <c r="AJ25" s="18"/>
      <c r="AK25" s="18"/>
      <c r="AL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20"/>
      <c r="BE25" s="20"/>
      <c r="BF25" s="20"/>
      <c r="BG25" s="20"/>
    </row>
    <row r="26" spans="2:59" ht="12.95" customHeight="1" x14ac:dyDescent="0.2">
      <c r="B26" s="5"/>
      <c r="C26" s="19"/>
      <c r="D26" s="19"/>
      <c r="E26" s="19"/>
      <c r="F26" s="19"/>
      <c r="G26" s="19"/>
      <c r="H26" s="19"/>
      <c r="I26" s="19"/>
      <c r="J26" s="19"/>
      <c r="K26" s="424" t="s">
        <v>10</v>
      </c>
      <c r="L26" s="425"/>
      <c r="M26" s="425"/>
      <c r="N26" s="425"/>
      <c r="O26" s="425"/>
      <c r="P26" s="425"/>
      <c r="Q26" s="425"/>
      <c r="R26" s="425"/>
      <c r="S26" s="425"/>
      <c r="T26" s="425"/>
      <c r="U26" s="425"/>
      <c r="V26" s="425"/>
      <c r="W26" s="425"/>
      <c r="X26" s="426"/>
      <c r="Y26" s="19"/>
      <c r="Z26" s="19"/>
      <c r="AA26" s="19"/>
      <c r="AB26" s="19"/>
      <c r="AC26" s="19"/>
      <c r="AD26" s="19"/>
      <c r="AE26" s="19"/>
      <c r="AF26" s="19"/>
      <c r="AG26" s="59"/>
      <c r="AI26" s="20"/>
      <c r="AJ26" s="18"/>
      <c r="AK26" s="67"/>
      <c r="AL26" s="67"/>
      <c r="AM26" s="67"/>
      <c r="AN26" s="18"/>
      <c r="AO26" s="18"/>
      <c r="AP26" s="18"/>
      <c r="AQ26" s="22"/>
      <c r="AR26" s="22"/>
      <c r="AS26" s="22"/>
      <c r="AT26" s="99"/>
      <c r="AU26" s="99"/>
      <c r="AV26" s="99"/>
      <c r="AW26" s="99"/>
      <c r="AX26" s="22"/>
      <c r="AY26" s="22"/>
      <c r="AZ26" s="22"/>
      <c r="BA26" s="18"/>
      <c r="BB26" s="18"/>
      <c r="BC26" s="18"/>
      <c r="BD26" s="20"/>
      <c r="BE26" s="20"/>
      <c r="BF26" s="20"/>
      <c r="BG26" s="20"/>
    </row>
    <row r="27" spans="2:59" ht="12.95" customHeight="1" x14ac:dyDescent="0.2">
      <c r="B27" s="25"/>
      <c r="C27" s="19"/>
      <c r="D27" s="19"/>
      <c r="E27" s="19"/>
      <c r="F27" s="19"/>
      <c r="G27" s="19"/>
      <c r="H27" s="19"/>
      <c r="I27" s="19"/>
      <c r="J27" s="19"/>
      <c r="K27" s="427" t="s">
        <v>11</v>
      </c>
      <c r="L27" s="331"/>
      <c r="M27" s="428"/>
      <c r="N27" s="317" t="str">
        <f>SetupOverview!D58</f>
        <v>standard</v>
      </c>
      <c r="O27" s="318"/>
      <c r="P27" s="318"/>
      <c r="Q27" s="318"/>
      <c r="R27" s="318"/>
      <c r="S27" s="318"/>
      <c r="T27" s="318"/>
      <c r="U27" s="319"/>
      <c r="V27" s="44"/>
      <c r="W27" s="9"/>
      <c r="X27" s="59"/>
      <c r="Y27" s="19"/>
      <c r="Z27" s="19"/>
      <c r="AA27" s="19"/>
      <c r="AB27" s="19"/>
      <c r="AC27" s="19"/>
      <c r="AD27" s="19"/>
      <c r="AE27" s="19"/>
      <c r="AF27" s="19"/>
      <c r="AG27" s="59"/>
      <c r="AI27" s="20"/>
      <c r="AJ27" s="18"/>
      <c r="AK27" s="67"/>
      <c r="AL27" s="68"/>
      <c r="AM27" s="68"/>
      <c r="AN27" s="18"/>
      <c r="AO27" s="18"/>
      <c r="AP27" s="18"/>
      <c r="AQ27" s="22"/>
      <c r="AR27" s="22"/>
      <c r="AS27" s="28"/>
      <c r="AT27" s="408"/>
      <c r="AU27" s="408"/>
      <c r="AV27" s="408"/>
      <c r="AW27" s="408"/>
      <c r="AX27" s="22"/>
      <c r="AY27" s="22"/>
      <c r="AZ27" s="22"/>
      <c r="BA27" s="18"/>
      <c r="BB27" s="18"/>
      <c r="BC27" s="18"/>
      <c r="BD27" s="20"/>
      <c r="BE27" s="20"/>
      <c r="BF27" s="20"/>
      <c r="BG27" s="20"/>
    </row>
    <row r="28" spans="2:59" ht="12.95" customHeight="1" x14ac:dyDescent="0.2">
      <c r="B28" s="25"/>
      <c r="C28" s="19"/>
      <c r="D28" s="19"/>
      <c r="E28" s="19"/>
      <c r="F28" s="19"/>
      <c r="G28" s="19"/>
      <c r="H28" s="19"/>
      <c r="I28" s="19"/>
      <c r="J28" s="19"/>
      <c r="K28" s="340" t="s">
        <v>12</v>
      </c>
      <c r="L28" s="341"/>
      <c r="M28" s="342"/>
      <c r="N28" s="317" t="str">
        <f>SetupOverview!D59</f>
        <v>40mm (300 Nm/rad)</v>
      </c>
      <c r="O28" s="318"/>
      <c r="P28" s="318"/>
      <c r="Q28" s="319"/>
      <c r="R28" s="317" t="str">
        <f>SetupOverview!D60</f>
        <v>medium-medium</v>
      </c>
      <c r="S28" s="318"/>
      <c r="T28" s="318"/>
      <c r="U28" s="319"/>
      <c r="V28" s="347" t="s">
        <v>37</v>
      </c>
      <c r="W28" s="343"/>
      <c r="X28" s="348"/>
      <c r="Y28" s="19"/>
      <c r="Z28" s="19"/>
      <c r="AA28" s="19"/>
      <c r="AB28" s="19"/>
      <c r="AC28" s="19"/>
      <c r="AD28" s="19"/>
      <c r="AE28" s="19"/>
      <c r="AF28" s="19"/>
      <c r="AG28" s="59"/>
      <c r="AI28" s="20"/>
      <c r="AJ28" s="18"/>
      <c r="AK28" s="67"/>
      <c r="AL28" s="68"/>
      <c r="AM28" s="68"/>
      <c r="AN28" s="18"/>
      <c r="AO28" s="18"/>
      <c r="AP28" s="18"/>
      <c r="AQ28" s="22"/>
      <c r="AR28" s="22"/>
      <c r="AS28" s="28"/>
      <c r="AT28" s="99"/>
      <c r="AU28" s="99"/>
      <c r="AV28" s="99"/>
      <c r="AW28" s="99"/>
      <c r="AX28" s="22"/>
      <c r="AY28" s="22"/>
      <c r="AZ28" s="22"/>
      <c r="BA28" s="18"/>
      <c r="BB28" s="18"/>
      <c r="BC28" s="18"/>
      <c r="BD28" s="20"/>
      <c r="BE28" s="20"/>
      <c r="BF28" s="20"/>
      <c r="BG28" s="20"/>
    </row>
    <row r="29" spans="2:59" ht="12.95" customHeight="1" x14ac:dyDescent="0.2">
      <c r="B29" s="25"/>
      <c r="C29" s="19"/>
      <c r="D29" s="19"/>
      <c r="E29" s="19"/>
      <c r="F29" s="19"/>
      <c r="G29" s="19"/>
      <c r="H29" s="19"/>
      <c r="I29" s="19"/>
      <c r="J29" s="19"/>
      <c r="K29" s="340" t="s">
        <v>39</v>
      </c>
      <c r="L29" s="341"/>
      <c r="M29" s="342"/>
      <c r="N29" s="411">
        <f>SetupOverview!D61</f>
        <v>1302</v>
      </c>
      <c r="O29" s="412"/>
      <c r="P29" s="412"/>
      <c r="Q29" s="412"/>
      <c r="R29" s="412"/>
      <c r="S29" s="412"/>
      <c r="T29" s="412"/>
      <c r="U29" s="413"/>
      <c r="V29" s="414"/>
      <c r="W29" s="415"/>
      <c r="X29" s="416"/>
      <c r="Y29" s="19"/>
      <c r="Z29" s="19"/>
      <c r="AA29" s="19"/>
      <c r="AB29" s="19"/>
      <c r="AC29" s="19"/>
      <c r="AD29" s="19"/>
      <c r="AE29" s="19"/>
      <c r="AF29" s="19"/>
      <c r="AG29" s="59"/>
      <c r="AI29" s="20"/>
      <c r="AJ29" s="18"/>
      <c r="AK29" s="67"/>
      <c r="AL29" s="68"/>
      <c r="AM29" s="68"/>
      <c r="AN29" s="18"/>
      <c r="AO29" s="18"/>
      <c r="AP29" s="18"/>
      <c r="AQ29" s="22"/>
      <c r="AR29" s="22"/>
      <c r="AS29" s="28"/>
      <c r="AT29" s="99"/>
      <c r="AU29" s="99"/>
      <c r="AV29" s="99"/>
      <c r="AW29" s="99"/>
      <c r="AX29" s="22"/>
      <c r="AY29" s="22"/>
      <c r="AZ29" s="22"/>
      <c r="BA29" s="18"/>
      <c r="BB29" s="18"/>
      <c r="BC29" s="18"/>
      <c r="BD29" s="20"/>
      <c r="BE29" s="20"/>
      <c r="BF29" s="20"/>
      <c r="BG29" s="20"/>
    </row>
    <row r="30" spans="2:59" ht="12.95" customHeight="1" x14ac:dyDescent="0.2">
      <c r="B30" s="25"/>
      <c r="C30" s="19"/>
      <c r="D30" s="19"/>
      <c r="E30" s="19"/>
      <c r="F30" s="19"/>
      <c r="G30" s="19"/>
      <c r="H30" s="19"/>
      <c r="I30" s="19"/>
      <c r="J30" s="19"/>
      <c r="K30" s="340" t="s">
        <v>396</v>
      </c>
      <c r="L30" s="341"/>
      <c r="M30" s="342"/>
      <c r="N30" s="410">
        <f>IF(SetupOverview!D63="","",SetupOverview!D63)</f>
        <v>88</v>
      </c>
      <c r="O30" s="410"/>
      <c r="P30" s="410"/>
      <c r="Q30" s="410"/>
      <c r="R30" s="410">
        <f>IF(SetupOverview!D64="","",SetupOverview!D64)</f>
        <v>88</v>
      </c>
      <c r="S30" s="410"/>
      <c r="T30" s="410"/>
      <c r="U30" s="410"/>
      <c r="V30" s="417" t="s">
        <v>397</v>
      </c>
      <c r="W30" s="418"/>
      <c r="X30" s="419"/>
      <c r="Y30" s="19"/>
      <c r="Z30" s="19"/>
      <c r="AA30" s="19"/>
      <c r="AB30" s="19"/>
      <c r="AC30" s="19"/>
      <c r="AD30" s="19"/>
      <c r="AE30" s="19"/>
      <c r="AF30" s="19"/>
      <c r="AG30" s="59"/>
      <c r="AI30" s="20"/>
      <c r="AJ30" s="18"/>
      <c r="AK30" s="67"/>
      <c r="AL30" s="68"/>
      <c r="AM30" s="68"/>
      <c r="AN30" s="18"/>
      <c r="AO30" s="18"/>
      <c r="AP30" s="18"/>
      <c r="AQ30" s="22"/>
      <c r="AR30" s="22"/>
      <c r="AS30" s="28"/>
      <c r="AT30" s="99"/>
      <c r="AU30" s="99"/>
      <c r="AV30" s="99"/>
      <c r="AW30" s="99"/>
      <c r="AX30" s="22"/>
      <c r="AY30" s="22"/>
      <c r="AZ30" s="22"/>
      <c r="BA30" s="18"/>
      <c r="BB30" s="18"/>
      <c r="BC30" s="18"/>
      <c r="BD30" s="20"/>
      <c r="BE30" s="20"/>
      <c r="BF30" s="20"/>
      <c r="BG30" s="20"/>
    </row>
    <row r="31" spans="2:59" ht="12.95" customHeight="1" x14ac:dyDescent="0.2">
      <c r="B31" s="25"/>
      <c r="C31" s="19"/>
      <c r="D31" s="19"/>
      <c r="E31" s="19"/>
      <c r="F31" s="19"/>
      <c r="G31" s="19"/>
      <c r="H31" s="19"/>
      <c r="I31" s="19"/>
      <c r="J31" s="19"/>
      <c r="K31" s="420" t="s">
        <v>373</v>
      </c>
      <c r="L31" s="341"/>
      <c r="M31" s="342"/>
      <c r="N31" s="410"/>
      <c r="O31" s="410"/>
      <c r="P31" s="410"/>
      <c r="Q31" s="410"/>
      <c r="R31" s="410"/>
      <c r="S31" s="410"/>
      <c r="T31" s="410"/>
      <c r="U31" s="410"/>
      <c r="V31" s="429" t="s">
        <v>373</v>
      </c>
      <c r="W31" s="343"/>
      <c r="X31" s="348"/>
      <c r="Y31" s="19"/>
      <c r="Z31" s="19"/>
      <c r="AA31" s="19"/>
      <c r="AB31" s="19"/>
      <c r="AC31" s="19"/>
      <c r="AD31" s="19"/>
      <c r="AE31" s="19"/>
      <c r="AF31" s="19"/>
      <c r="AG31" s="59"/>
      <c r="AI31" s="20"/>
      <c r="AJ31" s="18"/>
      <c r="AK31" s="67"/>
      <c r="AL31" s="68"/>
      <c r="AM31" s="68"/>
      <c r="AN31" s="18"/>
      <c r="AO31" s="18"/>
      <c r="AP31" s="18"/>
      <c r="AQ31" s="22"/>
      <c r="AR31" s="22"/>
      <c r="AS31" s="28"/>
      <c r="AT31" s="99"/>
      <c r="AU31" s="100"/>
      <c r="AV31" s="100"/>
      <c r="AW31" s="100"/>
      <c r="AX31" s="22"/>
      <c r="AY31" s="22"/>
      <c r="AZ31" s="22"/>
      <c r="BA31" s="18"/>
      <c r="BB31" s="18"/>
      <c r="BC31" s="18"/>
      <c r="BD31" s="20"/>
      <c r="BE31" s="20"/>
      <c r="BF31" s="20"/>
      <c r="BG31" s="20"/>
    </row>
    <row r="32" spans="2:59" ht="12.95" customHeight="1" x14ac:dyDescent="0.2">
      <c r="B32" s="5"/>
      <c r="C32" s="19"/>
      <c r="D32" s="19"/>
      <c r="E32" s="19"/>
      <c r="F32" s="19"/>
      <c r="G32" s="19"/>
      <c r="H32" s="19"/>
      <c r="I32" s="19"/>
      <c r="J32" s="19"/>
      <c r="K32" s="344" t="s">
        <v>40</v>
      </c>
      <c r="L32" s="345"/>
      <c r="M32" s="346"/>
      <c r="N32" s="317" t="str">
        <f>SetupOverview!D65</f>
        <v>1 x 01193-81</v>
      </c>
      <c r="O32" s="318"/>
      <c r="P32" s="318"/>
      <c r="Q32" s="318"/>
      <c r="R32" s="318"/>
      <c r="S32" s="318"/>
      <c r="T32" s="318"/>
      <c r="U32" s="319"/>
      <c r="V32" s="347" t="s">
        <v>38</v>
      </c>
      <c r="W32" s="343"/>
      <c r="X32" s="348"/>
      <c r="Y32" s="19"/>
      <c r="Z32" s="19"/>
      <c r="AA32" s="19"/>
      <c r="AB32" s="19"/>
      <c r="AC32" s="19"/>
      <c r="AD32" s="19"/>
      <c r="AE32" s="19"/>
      <c r="AF32" s="19"/>
      <c r="AG32" s="59"/>
      <c r="AI32" s="20"/>
      <c r="AJ32" s="18"/>
      <c r="AK32" s="67"/>
      <c r="AL32" s="68"/>
      <c r="AM32" s="68"/>
      <c r="AN32" s="18"/>
      <c r="AO32" s="22"/>
      <c r="AP32" s="22"/>
      <c r="AQ32" s="22"/>
      <c r="AR32" s="22"/>
      <c r="AS32" s="22"/>
      <c r="AT32" s="408"/>
      <c r="AU32" s="408"/>
      <c r="AV32" s="408"/>
      <c r="AW32" s="408"/>
      <c r="AX32" s="22"/>
      <c r="AY32" s="22"/>
      <c r="AZ32" s="22"/>
      <c r="BA32" s="22"/>
      <c r="BB32" s="22"/>
      <c r="BC32" s="18"/>
      <c r="BD32" s="20"/>
      <c r="BE32" s="20"/>
      <c r="BF32" s="20"/>
      <c r="BG32" s="20"/>
    </row>
    <row r="33" spans="2:59" ht="12.95" customHeight="1" x14ac:dyDescent="0.2">
      <c r="B33" s="5"/>
      <c r="C33" s="19"/>
      <c r="D33" s="19"/>
      <c r="E33" s="19"/>
      <c r="F33" s="19"/>
      <c r="G33" s="19"/>
      <c r="H33" s="19"/>
      <c r="I33" s="19"/>
      <c r="J33" s="19"/>
      <c r="K33" s="340" t="s">
        <v>369</v>
      </c>
      <c r="L33" s="341"/>
      <c r="M33" s="342"/>
      <c r="N33" s="410" t="str">
        <f>IF(SetupOverview!D66="","",SetupOverview!D66)</f>
        <v/>
      </c>
      <c r="O33" s="410"/>
      <c r="P33" s="410"/>
      <c r="Q33" s="410"/>
      <c r="R33" s="410" t="str">
        <f>IF(SetupOverview!D67="","",SetupOverview!D67)</f>
        <v/>
      </c>
      <c r="S33" s="410"/>
      <c r="T33" s="410"/>
      <c r="U33" s="410"/>
      <c r="V33" s="347" t="s">
        <v>371</v>
      </c>
      <c r="W33" s="343"/>
      <c r="X33" s="348"/>
      <c r="Y33" s="19"/>
      <c r="Z33" s="19"/>
      <c r="AA33" s="19"/>
      <c r="AB33" s="19"/>
      <c r="AC33" s="19"/>
      <c r="AD33" s="19"/>
      <c r="AE33" s="19"/>
      <c r="AF33" s="19"/>
      <c r="AG33" s="59"/>
      <c r="AI33" s="20"/>
      <c r="AJ33" s="18"/>
      <c r="AK33" s="67"/>
      <c r="AL33" s="68"/>
      <c r="AM33" s="68"/>
      <c r="AN33" s="18"/>
      <c r="AO33" s="22"/>
      <c r="AP33" s="22"/>
      <c r="AQ33" s="22"/>
      <c r="AR33" s="22"/>
      <c r="AS33" s="22"/>
      <c r="AT33" s="99"/>
      <c r="AU33" s="99"/>
      <c r="AV33" s="99"/>
      <c r="AW33" s="99"/>
      <c r="AX33" s="22"/>
      <c r="AY33" s="22"/>
      <c r="AZ33" s="22"/>
      <c r="BA33" s="22"/>
      <c r="BB33" s="22"/>
      <c r="BC33" s="18"/>
      <c r="BD33" s="20"/>
      <c r="BE33" s="20"/>
      <c r="BF33" s="20"/>
      <c r="BG33" s="20"/>
    </row>
    <row r="34" spans="2:59" ht="12.95" customHeight="1" x14ac:dyDescent="0.2">
      <c r="B34" s="5"/>
      <c r="C34" s="19"/>
      <c r="D34" s="19"/>
      <c r="E34" s="19"/>
      <c r="F34" s="19"/>
      <c r="G34" s="19"/>
      <c r="H34" s="19"/>
      <c r="I34" s="19"/>
      <c r="J34" s="19"/>
      <c r="K34" s="340"/>
      <c r="L34" s="341"/>
      <c r="M34" s="342"/>
      <c r="N34" s="410"/>
      <c r="O34" s="410"/>
      <c r="P34" s="410"/>
      <c r="Q34" s="410"/>
      <c r="R34" s="410"/>
      <c r="S34" s="410"/>
      <c r="T34" s="410"/>
      <c r="U34" s="410"/>
      <c r="V34" s="347"/>
      <c r="W34" s="343"/>
      <c r="X34" s="348"/>
      <c r="Y34" s="19"/>
      <c r="Z34" s="19"/>
      <c r="AA34" s="19"/>
      <c r="AB34" s="19"/>
      <c r="AC34" s="19"/>
      <c r="AD34" s="19"/>
      <c r="AE34" s="19"/>
      <c r="AF34" s="19"/>
      <c r="AG34" s="59"/>
      <c r="AI34" s="20"/>
      <c r="AJ34" s="18"/>
      <c r="AK34" s="67"/>
      <c r="AL34" s="68"/>
      <c r="AM34" s="68"/>
      <c r="AN34" s="18"/>
      <c r="AO34" s="22"/>
      <c r="AP34" s="22"/>
      <c r="AQ34" s="22"/>
      <c r="AR34" s="22"/>
      <c r="AS34" s="22"/>
      <c r="AT34" s="99"/>
      <c r="AU34" s="99"/>
      <c r="AV34" s="99"/>
      <c r="AW34" s="99"/>
      <c r="AX34" s="22"/>
      <c r="AY34" s="22"/>
      <c r="AZ34" s="22"/>
      <c r="BA34" s="22"/>
      <c r="BB34" s="22"/>
      <c r="BC34" s="18"/>
      <c r="BD34" s="20"/>
      <c r="BE34" s="20"/>
      <c r="BF34" s="20"/>
      <c r="BG34" s="20"/>
    </row>
    <row r="35" spans="2:59" ht="12.95" customHeight="1" x14ac:dyDescent="0.2">
      <c r="B35" s="5"/>
      <c r="C35" s="19"/>
      <c r="D35" s="19"/>
      <c r="E35" s="19"/>
      <c r="F35" s="19"/>
      <c r="G35" s="19"/>
      <c r="H35" s="19"/>
      <c r="I35" s="19"/>
      <c r="J35" s="19"/>
      <c r="K35" s="340" t="s">
        <v>370</v>
      </c>
      <c r="L35" s="341"/>
      <c r="M35" s="342"/>
      <c r="N35" s="410" t="str">
        <f>IF(SetupOverview!D68="","",SetupOverview!D68)</f>
        <v/>
      </c>
      <c r="O35" s="410"/>
      <c r="P35" s="410"/>
      <c r="Q35" s="410"/>
      <c r="R35" s="410" t="str">
        <f>IF(SetupOverview!D69="","",SetupOverview!D69)</f>
        <v/>
      </c>
      <c r="S35" s="410"/>
      <c r="T35" s="410"/>
      <c r="U35" s="410"/>
      <c r="V35" s="347" t="s">
        <v>372</v>
      </c>
      <c r="W35" s="343"/>
      <c r="X35" s="348"/>
      <c r="Y35" s="19"/>
      <c r="Z35" s="19"/>
      <c r="AA35" s="19"/>
      <c r="AB35" s="19"/>
      <c r="AC35" s="19"/>
      <c r="AD35" s="19"/>
      <c r="AE35" s="19"/>
      <c r="AF35" s="19"/>
      <c r="AG35" s="59"/>
      <c r="AI35" s="20"/>
      <c r="AJ35" s="18"/>
      <c r="AK35" s="67"/>
      <c r="AL35" s="68"/>
      <c r="AM35" s="68"/>
      <c r="AN35" s="18"/>
      <c r="AO35" s="22"/>
      <c r="AP35" s="22"/>
      <c r="AQ35" s="22"/>
      <c r="AR35" s="22"/>
      <c r="AS35" s="22"/>
      <c r="AT35" s="99"/>
      <c r="AU35" s="99"/>
      <c r="AV35" s="99"/>
      <c r="AW35" s="99"/>
      <c r="AX35" s="22"/>
      <c r="AY35" s="22"/>
      <c r="AZ35" s="22"/>
      <c r="BA35" s="22"/>
      <c r="BB35" s="22"/>
      <c r="BC35" s="18"/>
      <c r="BD35" s="20"/>
      <c r="BE35" s="20"/>
      <c r="BF35" s="20"/>
      <c r="BG35" s="20"/>
    </row>
    <row r="36" spans="2:59" ht="12.95" customHeight="1" x14ac:dyDescent="0.2">
      <c r="B36" s="5"/>
      <c r="C36" s="19"/>
      <c r="D36" s="19"/>
      <c r="E36" s="19"/>
      <c r="F36" s="19"/>
      <c r="G36" s="19"/>
      <c r="H36" s="19"/>
      <c r="I36" s="19"/>
      <c r="J36" s="19"/>
      <c r="K36" s="340"/>
      <c r="L36" s="341"/>
      <c r="M36" s="342"/>
      <c r="N36" s="410"/>
      <c r="O36" s="410"/>
      <c r="P36" s="410"/>
      <c r="Q36" s="410"/>
      <c r="R36" s="410"/>
      <c r="S36" s="410"/>
      <c r="T36" s="410"/>
      <c r="U36" s="410"/>
      <c r="V36" s="347"/>
      <c r="W36" s="343"/>
      <c r="X36" s="348"/>
      <c r="Y36" s="19"/>
      <c r="Z36" s="19"/>
      <c r="AA36" s="19"/>
      <c r="AB36" s="19"/>
      <c r="AC36" s="19"/>
      <c r="AD36" s="19"/>
      <c r="AE36" s="19"/>
      <c r="AF36" s="19"/>
      <c r="AG36" s="59"/>
      <c r="AI36" s="20"/>
      <c r="AJ36" s="18"/>
      <c r="AK36" s="67"/>
      <c r="AL36" s="68"/>
      <c r="AM36" s="68"/>
      <c r="AN36" s="18"/>
      <c r="AO36" s="22"/>
      <c r="AP36" s="22"/>
      <c r="AQ36" s="22"/>
      <c r="AR36" s="22"/>
      <c r="AS36" s="22"/>
      <c r="AT36" s="99"/>
      <c r="AU36" s="99"/>
      <c r="AV36" s="99"/>
      <c r="AW36" s="99"/>
      <c r="AX36" s="22"/>
      <c r="AY36" s="22"/>
      <c r="AZ36" s="22"/>
      <c r="BA36" s="22"/>
      <c r="BB36" s="22"/>
      <c r="BC36" s="18"/>
      <c r="BD36" s="20"/>
      <c r="BE36" s="20"/>
      <c r="BF36" s="20"/>
      <c r="BG36" s="20"/>
    </row>
    <row r="37" spans="2:59" ht="12.95" customHeight="1" x14ac:dyDescent="0.2">
      <c r="B37" s="5"/>
      <c r="C37" s="19"/>
      <c r="D37" s="19"/>
      <c r="E37" s="19"/>
      <c r="F37" s="19"/>
      <c r="G37" s="19"/>
      <c r="H37" s="19"/>
      <c r="I37" s="19"/>
      <c r="J37" s="19"/>
      <c r="K37" s="340" t="s">
        <v>64</v>
      </c>
      <c r="L37" s="341"/>
      <c r="M37" s="342"/>
      <c r="N37" s="317" t="str">
        <f>SetupOverview!D70</f>
        <v>Ohlins TX 2 way</v>
      </c>
      <c r="O37" s="318"/>
      <c r="P37" s="318"/>
      <c r="Q37" s="318"/>
      <c r="R37" s="318"/>
      <c r="S37" s="318"/>
      <c r="T37" s="318"/>
      <c r="U37" s="319"/>
      <c r="V37" s="7"/>
      <c r="W37" s="7"/>
      <c r="X37" s="59"/>
      <c r="Y37" s="19"/>
      <c r="Z37" s="19"/>
      <c r="AA37" s="19"/>
      <c r="AB37" s="19"/>
      <c r="AC37" s="19"/>
      <c r="AD37" s="19"/>
      <c r="AE37" s="19"/>
      <c r="AF37" s="19"/>
      <c r="AG37" s="59"/>
      <c r="AI37" s="20"/>
      <c r="AJ37" s="18"/>
      <c r="AK37" s="67"/>
      <c r="AL37" s="68"/>
      <c r="AM37" s="69"/>
      <c r="BA37" s="27"/>
      <c r="BB37" s="27"/>
      <c r="BC37" s="18"/>
      <c r="BD37" s="20"/>
      <c r="BE37" s="20"/>
      <c r="BF37" s="20"/>
      <c r="BG37" s="20"/>
    </row>
    <row r="38" spans="2:59" ht="12.95" customHeight="1" x14ac:dyDescent="0.2">
      <c r="B38" s="5"/>
      <c r="C38" s="19"/>
      <c r="D38" s="19"/>
      <c r="E38" s="19"/>
      <c r="F38" s="19"/>
      <c r="G38" s="19"/>
      <c r="H38" s="19"/>
      <c r="I38" s="19"/>
      <c r="J38" s="19"/>
      <c r="K38" s="340" t="s">
        <v>62</v>
      </c>
      <c r="L38" s="341"/>
      <c r="M38" s="342"/>
      <c r="N38" s="537">
        <f>SetupOverview!D71</f>
        <v>12</v>
      </c>
      <c r="O38" s="538"/>
      <c r="P38" s="538"/>
      <c r="Q38" s="538"/>
      <c r="R38" s="538"/>
      <c r="S38" s="538"/>
      <c r="T38" s="538"/>
      <c r="U38" s="539"/>
      <c r="V38" s="94"/>
      <c r="W38" s="94"/>
      <c r="X38" s="95"/>
      <c r="Y38" s="19"/>
      <c r="Z38" s="19"/>
      <c r="AA38" s="19"/>
      <c r="AB38" s="19"/>
      <c r="AC38" s="19"/>
      <c r="AD38" s="19"/>
      <c r="AE38" s="19"/>
      <c r="AF38" s="19"/>
      <c r="AG38" s="66"/>
      <c r="AH38" s="20"/>
      <c r="AI38" s="20"/>
      <c r="AJ38" s="18"/>
      <c r="AK38" s="67"/>
      <c r="AL38" s="69"/>
      <c r="AM38" s="69"/>
      <c r="BA38" s="22"/>
      <c r="BB38" s="22"/>
      <c r="BC38" s="18"/>
      <c r="BD38" s="20"/>
      <c r="BE38" s="20"/>
      <c r="BF38" s="20"/>
      <c r="BG38" s="20"/>
    </row>
    <row r="39" spans="2:59" ht="12.95" customHeight="1" x14ac:dyDescent="0.2">
      <c r="B39" s="5"/>
      <c r="C39" s="19"/>
      <c r="D39" s="19"/>
      <c r="E39" s="19"/>
      <c r="F39" s="19"/>
      <c r="G39" s="19"/>
      <c r="H39" s="19"/>
      <c r="I39" s="19"/>
      <c r="J39" s="19"/>
      <c r="K39" s="340" t="s">
        <v>63</v>
      </c>
      <c r="L39" s="341"/>
      <c r="M39" s="342"/>
      <c r="N39" s="537">
        <f>SetupOverview!D72</f>
        <v>12</v>
      </c>
      <c r="O39" s="538"/>
      <c r="P39" s="538"/>
      <c r="Q39" s="538"/>
      <c r="R39" s="538"/>
      <c r="S39" s="538"/>
      <c r="T39" s="538"/>
      <c r="U39" s="539"/>
      <c r="V39" s="94"/>
      <c r="W39" s="94"/>
      <c r="X39" s="95"/>
      <c r="Y39" s="19"/>
      <c r="Z39" s="19"/>
      <c r="AA39" s="19"/>
      <c r="AB39" s="19"/>
      <c r="AC39" s="19"/>
      <c r="AD39" s="19"/>
      <c r="AE39" s="19"/>
      <c r="AF39" s="19"/>
      <c r="AG39" s="66"/>
      <c r="AH39" s="20"/>
      <c r="AI39" s="20"/>
      <c r="AJ39" s="18"/>
      <c r="AK39" s="67"/>
      <c r="AL39" s="69"/>
      <c r="AM39" s="70"/>
      <c r="BA39" s="409"/>
      <c r="BB39" s="409"/>
      <c r="BC39" s="18"/>
      <c r="BD39" s="20"/>
      <c r="BE39" s="20"/>
      <c r="BF39" s="20"/>
      <c r="BG39" s="20"/>
    </row>
    <row r="40" spans="2:59" ht="12.95" customHeight="1" thickBot="1" x14ac:dyDescent="0.25">
      <c r="B40" s="5"/>
      <c r="C40" s="19"/>
      <c r="D40" s="19"/>
      <c r="E40" s="19"/>
      <c r="F40" s="19"/>
      <c r="G40" s="19"/>
      <c r="H40" s="19"/>
      <c r="I40" s="19"/>
      <c r="J40" s="19"/>
      <c r="K40" s="102"/>
      <c r="L40" s="103"/>
      <c r="M40" s="103"/>
      <c r="N40" s="96"/>
      <c r="O40" s="96"/>
      <c r="P40" s="96"/>
      <c r="Q40" s="96"/>
      <c r="R40" s="96"/>
      <c r="S40" s="96"/>
      <c r="T40" s="96"/>
      <c r="U40" s="96"/>
      <c r="V40" s="97"/>
      <c r="W40" s="97"/>
      <c r="X40" s="60"/>
      <c r="Y40" s="19"/>
      <c r="Z40" s="19"/>
      <c r="AA40" s="19"/>
      <c r="AB40" s="19"/>
      <c r="AC40" s="19"/>
      <c r="AD40" s="19"/>
      <c r="AE40" s="19"/>
      <c r="AF40" s="19"/>
      <c r="AG40" s="66"/>
      <c r="AH40" s="20"/>
      <c r="AI40" s="20"/>
      <c r="AJ40" s="18"/>
      <c r="AK40" s="18"/>
      <c r="AL40" s="18"/>
      <c r="AW40" s="18"/>
      <c r="AX40" s="18"/>
      <c r="AY40" s="18"/>
      <c r="AZ40" s="22"/>
      <c r="BA40" s="409"/>
      <c r="BB40" s="409"/>
      <c r="BC40" s="18"/>
      <c r="BD40" s="20"/>
      <c r="BE40" s="20"/>
      <c r="BF40" s="20"/>
      <c r="BG40" s="20"/>
    </row>
    <row r="41" spans="2:59" ht="12.95" customHeight="1" thickTop="1" thickBot="1" x14ac:dyDescent="0.25">
      <c r="B41" s="5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66"/>
      <c r="AH41" s="20"/>
      <c r="AI41" s="20"/>
      <c r="AJ41" s="18"/>
      <c r="AK41" s="18"/>
      <c r="AL41" s="18"/>
      <c r="AW41" s="29"/>
      <c r="AX41" s="23"/>
      <c r="AY41" s="22"/>
      <c r="AZ41" s="22"/>
      <c r="BA41" s="409"/>
      <c r="BB41" s="409"/>
      <c r="BC41" s="18"/>
      <c r="BD41" s="20"/>
      <c r="BE41" s="20"/>
      <c r="BF41" s="20"/>
      <c r="BG41" s="20"/>
    </row>
    <row r="42" spans="2:59" ht="12.95" customHeight="1" x14ac:dyDescent="0.2">
      <c r="B42" s="5"/>
      <c r="C42" s="19"/>
      <c r="D42" s="19"/>
      <c r="E42" s="19"/>
      <c r="F42" s="19"/>
      <c r="G42" s="19"/>
      <c r="H42" s="19"/>
      <c r="I42" s="19"/>
      <c r="J42" s="19"/>
      <c r="K42" s="424" t="s">
        <v>41</v>
      </c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6"/>
      <c r="Y42" s="19"/>
      <c r="Z42" s="19"/>
      <c r="AA42" s="19"/>
      <c r="AB42" s="19"/>
      <c r="AC42" s="19"/>
      <c r="AD42" s="19"/>
      <c r="AE42" s="19"/>
      <c r="AF42" s="19"/>
      <c r="AG42" s="66"/>
      <c r="AH42" s="20"/>
      <c r="AI42" s="20"/>
      <c r="AJ42" s="18"/>
      <c r="AK42" s="18"/>
      <c r="AL42" s="18"/>
      <c r="AW42" s="24"/>
      <c r="AX42" s="24"/>
      <c r="AY42" s="22"/>
      <c r="AZ42" s="22"/>
      <c r="BA42" s="18"/>
      <c r="BB42" s="18"/>
      <c r="BC42" s="18"/>
      <c r="BD42" s="20"/>
      <c r="BE42" s="20"/>
      <c r="BF42" s="20"/>
      <c r="BG42" s="20"/>
    </row>
    <row r="43" spans="2:59" ht="12.95" customHeight="1" x14ac:dyDescent="0.2">
      <c r="B43" s="5"/>
      <c r="C43" s="19"/>
      <c r="D43" s="19"/>
      <c r="E43" s="19"/>
      <c r="F43" s="19"/>
      <c r="G43" s="19"/>
      <c r="H43" s="19"/>
      <c r="I43" s="19"/>
      <c r="J43" s="19"/>
      <c r="K43" s="427" t="s">
        <v>11</v>
      </c>
      <c r="L43" s="331"/>
      <c r="M43" s="428"/>
      <c r="N43" s="317" t="str">
        <f>SetupOverview!D74</f>
        <v>standard</v>
      </c>
      <c r="O43" s="318"/>
      <c r="P43" s="318"/>
      <c r="Q43" s="318"/>
      <c r="R43" s="318"/>
      <c r="S43" s="318"/>
      <c r="T43" s="318"/>
      <c r="U43" s="319"/>
      <c r="V43" s="44"/>
      <c r="W43" s="9"/>
      <c r="X43" s="59"/>
      <c r="Y43" s="19"/>
      <c r="Z43" s="19"/>
      <c r="AA43" s="19"/>
      <c r="AB43" s="19"/>
      <c r="AC43" s="19"/>
      <c r="AD43" s="19"/>
      <c r="AE43" s="19"/>
      <c r="AF43" s="19"/>
      <c r="AG43" s="66"/>
      <c r="AH43" s="20"/>
      <c r="AI43" s="20"/>
      <c r="AJ43" s="18"/>
      <c r="AK43" s="18"/>
      <c r="AL43" s="18"/>
      <c r="AW43" s="29"/>
      <c r="AX43" s="29"/>
      <c r="AY43" s="30"/>
      <c r="AZ43" s="31"/>
      <c r="BA43" s="7"/>
      <c r="BB43" s="32"/>
      <c r="BC43" s="33"/>
      <c r="BD43" s="20"/>
      <c r="BE43" s="20"/>
      <c r="BF43" s="20"/>
      <c r="BG43" s="20"/>
    </row>
    <row r="44" spans="2:59" ht="12.95" customHeight="1" x14ac:dyDescent="0.2">
      <c r="B44" s="5"/>
      <c r="C44" s="19"/>
      <c r="D44" s="19"/>
      <c r="E44" s="19"/>
      <c r="F44" s="19"/>
      <c r="G44" s="19"/>
      <c r="H44" s="19"/>
      <c r="I44" s="19"/>
      <c r="J44" s="19"/>
      <c r="K44" s="340" t="s">
        <v>15</v>
      </c>
      <c r="L44" s="341"/>
      <c r="M44" s="342"/>
      <c r="N44" s="317" t="str">
        <f>SetupOverview!D75</f>
        <v>20mm (200 Nm/rad)</v>
      </c>
      <c r="O44" s="318"/>
      <c r="P44" s="318"/>
      <c r="Q44" s="319"/>
      <c r="R44" s="517" t="str">
        <f>SetupOverview!D76</f>
        <v>3/3</v>
      </c>
      <c r="S44" s="518"/>
      <c r="T44" s="518"/>
      <c r="U44" s="519"/>
      <c r="V44" s="347" t="s">
        <v>37</v>
      </c>
      <c r="W44" s="343"/>
      <c r="X44" s="348"/>
      <c r="Y44" s="19"/>
      <c r="Z44" s="19"/>
      <c r="AA44" s="19"/>
      <c r="AB44" s="19"/>
      <c r="AC44" s="19"/>
      <c r="AD44" s="19"/>
      <c r="AE44" s="19"/>
      <c r="AF44" s="19"/>
      <c r="AG44" s="59"/>
      <c r="AI44" s="20"/>
      <c r="AJ44" s="18"/>
      <c r="AK44" s="18"/>
      <c r="AL44" s="18"/>
      <c r="AW44" s="22"/>
      <c r="AX44" s="18"/>
      <c r="AY44" s="34"/>
      <c r="AZ44" s="34"/>
      <c r="BA44" s="18"/>
      <c r="BB44" s="18"/>
      <c r="BC44" s="32"/>
      <c r="BD44" s="20"/>
      <c r="BE44" s="20"/>
      <c r="BF44" s="20"/>
      <c r="BG44" s="20"/>
    </row>
    <row r="45" spans="2:59" ht="12.95" customHeight="1" x14ac:dyDescent="0.2">
      <c r="B45" s="35"/>
      <c r="C45" s="19"/>
      <c r="D45" s="19"/>
      <c r="E45" s="19"/>
      <c r="F45" s="19"/>
      <c r="G45" s="19"/>
      <c r="H45" s="19"/>
      <c r="I45" s="19"/>
      <c r="J45" s="19"/>
      <c r="K45" s="340" t="s">
        <v>39</v>
      </c>
      <c r="L45" s="341"/>
      <c r="M45" s="342"/>
      <c r="N45" s="411">
        <f>SetupOverview!D77</f>
        <v>1050</v>
      </c>
      <c r="O45" s="412"/>
      <c r="P45" s="412"/>
      <c r="Q45" s="412"/>
      <c r="R45" s="412"/>
      <c r="S45" s="412"/>
      <c r="T45" s="412"/>
      <c r="U45" s="413"/>
      <c r="V45" s="414" t="s">
        <v>91</v>
      </c>
      <c r="W45" s="415"/>
      <c r="X45" s="416"/>
      <c r="Y45" s="19"/>
      <c r="Z45" s="19"/>
      <c r="AA45" s="19"/>
      <c r="AB45" s="19"/>
      <c r="AC45" s="19"/>
      <c r="AD45" s="19"/>
      <c r="AE45" s="19"/>
      <c r="AF45" s="19"/>
      <c r="AG45" s="59"/>
      <c r="AH45" s="36"/>
      <c r="AJ45" s="18"/>
      <c r="AK45" s="18"/>
      <c r="AL45" s="18"/>
      <c r="AW45" s="24"/>
      <c r="AX45" s="18"/>
      <c r="AY45" s="34"/>
      <c r="AZ45" s="34"/>
      <c r="BA45" s="18"/>
      <c r="BB45" s="18"/>
      <c r="BC45" s="32"/>
      <c r="BD45" s="20"/>
      <c r="BE45" s="20"/>
      <c r="BF45" s="20"/>
      <c r="BG45" s="20"/>
    </row>
    <row r="46" spans="2:59" ht="12.95" customHeight="1" x14ac:dyDescent="0.2">
      <c r="B46" s="35"/>
      <c r="C46" s="19"/>
      <c r="D46" s="19"/>
      <c r="E46" s="19"/>
      <c r="F46" s="19"/>
      <c r="G46" s="19"/>
      <c r="H46" s="19"/>
      <c r="I46" s="19"/>
      <c r="J46" s="19"/>
      <c r="K46" s="340" t="s">
        <v>398</v>
      </c>
      <c r="L46" s="341"/>
      <c r="M46" s="342"/>
      <c r="N46" s="410">
        <f>IF(SetupOverview!D79="","",SetupOverview!D79)</f>
        <v>98</v>
      </c>
      <c r="O46" s="410"/>
      <c r="P46" s="410"/>
      <c r="Q46" s="410"/>
      <c r="R46" s="410">
        <f>IF(SetupOverview!D80="","",SetupOverview!D80)</f>
        <v>98</v>
      </c>
      <c r="S46" s="410"/>
      <c r="T46" s="410"/>
      <c r="U46" s="410"/>
      <c r="V46" s="417" t="s">
        <v>399</v>
      </c>
      <c r="W46" s="418"/>
      <c r="X46" s="419"/>
      <c r="Y46" s="19"/>
      <c r="Z46" s="19"/>
      <c r="AA46" s="19"/>
      <c r="AB46" s="19"/>
      <c r="AC46" s="19"/>
      <c r="AD46" s="19"/>
      <c r="AE46" s="19"/>
      <c r="AF46" s="19"/>
      <c r="AG46" s="59"/>
      <c r="AH46" s="36"/>
      <c r="AJ46" s="18"/>
      <c r="AK46" s="18"/>
      <c r="AL46" s="18"/>
      <c r="AW46" s="99"/>
      <c r="AX46" s="18"/>
      <c r="AY46" s="58"/>
      <c r="AZ46" s="58"/>
      <c r="BA46" s="18"/>
      <c r="BB46" s="18"/>
      <c r="BC46" s="32"/>
      <c r="BD46" s="20"/>
      <c r="BE46" s="20"/>
      <c r="BF46" s="20"/>
      <c r="BG46" s="20"/>
    </row>
    <row r="47" spans="2:59" ht="12.95" customHeight="1" x14ac:dyDescent="0.2">
      <c r="B47" s="35"/>
      <c r="C47" s="19"/>
      <c r="D47" s="19"/>
      <c r="E47" s="19"/>
      <c r="F47" s="19"/>
      <c r="G47" s="19"/>
      <c r="H47" s="19"/>
      <c r="I47" s="19"/>
      <c r="J47" s="19"/>
      <c r="K47" s="420" t="s">
        <v>373</v>
      </c>
      <c r="L47" s="341"/>
      <c r="M47" s="342"/>
      <c r="N47" s="410"/>
      <c r="O47" s="410"/>
      <c r="P47" s="410"/>
      <c r="Q47" s="410"/>
      <c r="R47" s="410"/>
      <c r="S47" s="410"/>
      <c r="T47" s="410"/>
      <c r="U47" s="410"/>
      <c r="V47" s="421" t="s">
        <v>373</v>
      </c>
      <c r="W47" s="422"/>
      <c r="X47" s="423"/>
      <c r="Y47" s="19"/>
      <c r="Z47" s="19"/>
      <c r="AA47" s="19"/>
      <c r="AB47" s="19"/>
      <c r="AC47" s="19"/>
      <c r="AD47" s="19"/>
      <c r="AE47" s="19"/>
      <c r="AF47" s="19"/>
      <c r="AG47" s="59"/>
      <c r="AH47" s="36"/>
      <c r="AJ47" s="18"/>
      <c r="AK47" s="18"/>
      <c r="AL47" s="18"/>
      <c r="AM47" s="18"/>
      <c r="AN47" s="32"/>
      <c r="AO47" s="34"/>
      <c r="AP47" s="34"/>
      <c r="AQ47" s="18"/>
      <c r="AR47" s="28"/>
      <c r="AS47" s="28"/>
      <c r="AT47" s="408"/>
      <c r="AU47" s="408"/>
      <c r="AV47" s="408"/>
      <c r="AW47" s="409"/>
      <c r="AX47" s="37"/>
      <c r="AY47" s="34"/>
      <c r="AZ47" s="34"/>
      <c r="BA47" s="18"/>
      <c r="BB47" s="18"/>
      <c r="BC47" s="32"/>
      <c r="BD47" s="20"/>
      <c r="BE47" s="20"/>
      <c r="BF47" s="20"/>
      <c r="BG47" s="20"/>
    </row>
    <row r="48" spans="2:59" ht="12.95" customHeight="1" x14ac:dyDescent="0.2">
      <c r="B48" s="35"/>
      <c r="C48" s="19"/>
      <c r="D48" s="19"/>
      <c r="E48" s="19"/>
      <c r="F48" s="19"/>
      <c r="G48" s="19"/>
      <c r="H48" s="19"/>
      <c r="I48" s="19"/>
      <c r="J48" s="19"/>
      <c r="K48" s="340" t="s">
        <v>40</v>
      </c>
      <c r="L48" s="341"/>
      <c r="M48" s="342"/>
      <c r="N48" s="317" t="str">
        <f>SetupOverview!D81</f>
        <v>2x01119S-61 Med</v>
      </c>
      <c r="O48" s="318"/>
      <c r="P48" s="318"/>
      <c r="Q48" s="318"/>
      <c r="R48" s="318"/>
      <c r="S48" s="318"/>
      <c r="T48" s="318"/>
      <c r="U48" s="319"/>
      <c r="V48" s="347" t="s">
        <v>38</v>
      </c>
      <c r="W48" s="343"/>
      <c r="X48" s="348"/>
      <c r="Y48" s="19"/>
      <c r="Z48" s="19"/>
      <c r="AA48" s="19"/>
      <c r="AB48" s="19"/>
      <c r="AC48" s="19"/>
      <c r="AD48" s="19"/>
      <c r="AE48" s="19"/>
      <c r="AF48" s="19"/>
      <c r="AG48" s="59"/>
      <c r="AH48" s="36"/>
      <c r="AJ48" s="18"/>
      <c r="AK48" s="18"/>
      <c r="AL48" s="18"/>
      <c r="AM48" s="18"/>
      <c r="AN48" s="32"/>
      <c r="AO48" s="34"/>
      <c r="AP48" s="34"/>
      <c r="AQ48" s="18"/>
      <c r="AR48" s="28"/>
      <c r="AS48" s="28"/>
      <c r="AT48" s="408"/>
      <c r="AU48" s="408"/>
      <c r="AV48" s="408"/>
      <c r="AW48" s="409"/>
      <c r="AX48" s="37"/>
      <c r="AY48" s="34"/>
      <c r="AZ48" s="34"/>
      <c r="BA48" s="18"/>
      <c r="BB48" s="18"/>
      <c r="BC48" s="32"/>
      <c r="BD48" s="20"/>
      <c r="BE48" s="20"/>
      <c r="BF48" s="20"/>
      <c r="BG48" s="20"/>
    </row>
    <row r="49" spans="2:59" ht="12.95" customHeight="1" x14ac:dyDescent="0.2">
      <c r="B49" s="35"/>
      <c r="C49" s="19"/>
      <c r="D49" s="19"/>
      <c r="E49" s="19"/>
      <c r="F49" s="19"/>
      <c r="G49" s="19"/>
      <c r="H49" s="19"/>
      <c r="I49" s="19"/>
      <c r="J49" s="19"/>
      <c r="K49" s="340" t="s">
        <v>392</v>
      </c>
      <c r="L49" s="341"/>
      <c r="M49" s="342"/>
      <c r="N49" s="410" t="str">
        <f>IF(SetupOverview!D82="","",SetupOverview!D82)</f>
        <v/>
      </c>
      <c r="O49" s="410"/>
      <c r="P49" s="410"/>
      <c r="Q49" s="410"/>
      <c r="R49" s="410" t="str">
        <f>IF(SetupOverview!D83="","",SetupOverview!D83)</f>
        <v/>
      </c>
      <c r="S49" s="410"/>
      <c r="T49" s="410"/>
      <c r="U49" s="410"/>
      <c r="V49" s="347" t="s">
        <v>394</v>
      </c>
      <c r="W49" s="343"/>
      <c r="X49" s="348"/>
      <c r="Y49" s="19"/>
      <c r="Z49" s="19"/>
      <c r="AA49" s="19"/>
      <c r="AB49" s="19"/>
      <c r="AC49" s="19"/>
      <c r="AD49" s="19"/>
      <c r="AE49" s="19"/>
      <c r="AF49" s="19"/>
      <c r="AG49" s="59"/>
      <c r="AH49" s="36"/>
      <c r="AJ49" s="18"/>
      <c r="AK49" s="18"/>
      <c r="AL49" s="18"/>
      <c r="AM49" s="18"/>
      <c r="AN49" s="32"/>
      <c r="AO49" s="58"/>
      <c r="AP49" s="58"/>
      <c r="AQ49" s="18"/>
      <c r="AR49" s="28"/>
      <c r="AS49" s="28"/>
      <c r="AT49" s="99"/>
      <c r="AU49" s="99"/>
      <c r="AV49" s="99"/>
      <c r="AW49" s="100"/>
      <c r="AX49" s="37"/>
      <c r="AY49" s="58"/>
      <c r="AZ49" s="58"/>
      <c r="BA49" s="18"/>
      <c r="BB49" s="18"/>
      <c r="BC49" s="32"/>
      <c r="BD49" s="20"/>
      <c r="BE49" s="20"/>
      <c r="BF49" s="20"/>
      <c r="BG49" s="20"/>
    </row>
    <row r="50" spans="2:59" ht="12.95" customHeight="1" x14ac:dyDescent="0.2">
      <c r="B50" s="35"/>
      <c r="C50" s="19"/>
      <c r="D50" s="19"/>
      <c r="E50" s="19"/>
      <c r="F50" s="19"/>
      <c r="G50" s="19"/>
      <c r="H50" s="19"/>
      <c r="I50" s="19"/>
      <c r="J50" s="19"/>
      <c r="K50" s="340"/>
      <c r="L50" s="341"/>
      <c r="M50" s="342"/>
      <c r="N50" s="410"/>
      <c r="O50" s="410"/>
      <c r="P50" s="410"/>
      <c r="Q50" s="410"/>
      <c r="R50" s="410"/>
      <c r="S50" s="410"/>
      <c r="T50" s="410"/>
      <c r="U50" s="410"/>
      <c r="V50" s="347"/>
      <c r="W50" s="343"/>
      <c r="X50" s="348"/>
      <c r="Y50" s="19"/>
      <c r="Z50" s="19"/>
      <c r="AA50" s="19"/>
      <c r="AB50" s="19"/>
      <c r="AC50" s="19"/>
      <c r="AD50" s="19"/>
      <c r="AE50" s="19"/>
      <c r="AF50" s="19"/>
      <c r="AG50" s="59"/>
      <c r="AH50" s="36"/>
      <c r="AJ50" s="18"/>
      <c r="AK50" s="18"/>
      <c r="AL50" s="18"/>
      <c r="AM50" s="18"/>
      <c r="AN50" s="32"/>
      <c r="AO50" s="58"/>
      <c r="AP50" s="58"/>
      <c r="AQ50" s="18"/>
      <c r="AR50" s="28"/>
      <c r="AS50" s="28"/>
      <c r="AT50" s="99"/>
      <c r="AU50" s="99"/>
      <c r="AV50" s="99"/>
      <c r="AW50" s="100"/>
      <c r="AX50" s="37"/>
      <c r="AY50" s="58"/>
      <c r="AZ50" s="58"/>
      <c r="BA50" s="18"/>
      <c r="BB50" s="18"/>
      <c r="BC50" s="32"/>
      <c r="BD50" s="20"/>
      <c r="BE50" s="20"/>
      <c r="BF50" s="20"/>
      <c r="BG50" s="20"/>
    </row>
    <row r="51" spans="2:59" ht="12.95" customHeight="1" x14ac:dyDescent="0.2">
      <c r="B51" s="35"/>
      <c r="C51" s="19"/>
      <c r="D51" s="19"/>
      <c r="E51" s="19"/>
      <c r="F51" s="19"/>
      <c r="G51" s="19"/>
      <c r="H51" s="19"/>
      <c r="I51" s="19"/>
      <c r="J51" s="19"/>
      <c r="K51" s="340" t="s">
        <v>393</v>
      </c>
      <c r="L51" s="341"/>
      <c r="M51" s="342"/>
      <c r="N51" s="410" t="str">
        <f>IF(SetupOverview!D84="","",SetupOverview!D84)</f>
        <v/>
      </c>
      <c r="O51" s="410"/>
      <c r="P51" s="410"/>
      <c r="Q51" s="410"/>
      <c r="R51" s="410" t="str">
        <f>IF(SetupOverview!D85="","",SetupOverview!D85)</f>
        <v/>
      </c>
      <c r="S51" s="410"/>
      <c r="T51" s="410"/>
      <c r="U51" s="410"/>
      <c r="V51" s="347" t="s">
        <v>395</v>
      </c>
      <c r="W51" s="343"/>
      <c r="X51" s="348"/>
      <c r="Y51" s="19"/>
      <c r="Z51" s="19"/>
      <c r="AA51" s="19"/>
      <c r="AB51" s="19"/>
      <c r="AC51" s="19"/>
      <c r="AD51" s="19"/>
      <c r="AE51" s="19"/>
      <c r="AF51" s="19"/>
      <c r="AG51" s="59"/>
      <c r="AH51" s="36"/>
      <c r="AJ51" s="18"/>
      <c r="AK51" s="18"/>
      <c r="AL51" s="18"/>
      <c r="AM51" s="18"/>
      <c r="AN51" s="32"/>
      <c r="AO51" s="58"/>
      <c r="AP51" s="58"/>
      <c r="AQ51" s="18"/>
      <c r="AR51" s="28"/>
      <c r="AS51" s="28"/>
      <c r="AT51" s="99"/>
      <c r="AU51" s="99"/>
      <c r="AV51" s="99"/>
      <c r="AW51" s="100"/>
      <c r="AX51" s="37"/>
      <c r="AY51" s="58"/>
      <c r="AZ51" s="58"/>
      <c r="BA51" s="18"/>
      <c r="BB51" s="18"/>
      <c r="BC51" s="32"/>
      <c r="BD51" s="20"/>
      <c r="BE51" s="20"/>
      <c r="BF51" s="20"/>
      <c r="BG51" s="20"/>
    </row>
    <row r="52" spans="2:59" ht="12.95" customHeight="1" x14ac:dyDescent="0.2">
      <c r="B52" s="35"/>
      <c r="C52" s="19"/>
      <c r="D52" s="19"/>
      <c r="E52" s="19"/>
      <c r="F52" s="19"/>
      <c r="G52" s="19"/>
      <c r="H52" s="19"/>
      <c r="I52" s="19"/>
      <c r="J52" s="19"/>
      <c r="K52" s="340"/>
      <c r="L52" s="341"/>
      <c r="M52" s="342"/>
      <c r="N52" s="410"/>
      <c r="O52" s="410"/>
      <c r="P52" s="410"/>
      <c r="Q52" s="410"/>
      <c r="R52" s="410"/>
      <c r="S52" s="410"/>
      <c r="T52" s="410"/>
      <c r="U52" s="410"/>
      <c r="V52" s="347"/>
      <c r="W52" s="343"/>
      <c r="X52" s="348"/>
      <c r="Y52" s="19"/>
      <c r="Z52" s="19"/>
      <c r="AA52" s="19"/>
      <c r="AB52" s="19"/>
      <c r="AC52" s="19"/>
      <c r="AD52" s="19"/>
      <c r="AE52" s="19"/>
      <c r="AF52" s="19"/>
      <c r="AG52" s="59"/>
      <c r="AH52" s="36"/>
      <c r="AJ52" s="18"/>
      <c r="AK52" s="18"/>
      <c r="AL52" s="18"/>
      <c r="AM52" s="18"/>
      <c r="AN52" s="32"/>
      <c r="AO52" s="58"/>
      <c r="AP52" s="58"/>
      <c r="AQ52" s="18"/>
      <c r="AR52" s="28"/>
      <c r="AS52" s="28"/>
      <c r="AT52" s="99"/>
      <c r="AU52" s="99"/>
      <c r="AV52" s="99"/>
      <c r="AW52" s="100"/>
      <c r="AX52" s="37"/>
      <c r="AY52" s="58"/>
      <c r="AZ52" s="58"/>
      <c r="BA52" s="18"/>
      <c r="BB52" s="18"/>
      <c r="BC52" s="32"/>
      <c r="BD52" s="20"/>
      <c r="BE52" s="20"/>
      <c r="BF52" s="20"/>
      <c r="BG52" s="20"/>
    </row>
    <row r="53" spans="2:59" ht="12.95" customHeight="1" x14ac:dyDescent="0.2">
      <c r="B53" s="35"/>
      <c r="C53" s="19"/>
      <c r="D53" s="19"/>
      <c r="E53" s="19"/>
      <c r="F53" s="19"/>
      <c r="G53" s="19"/>
      <c r="H53" s="19"/>
      <c r="I53" s="19"/>
      <c r="J53" s="19"/>
      <c r="K53" s="340" t="s">
        <v>64</v>
      </c>
      <c r="L53" s="341"/>
      <c r="M53" s="342"/>
      <c r="N53" s="540" t="str">
        <f>SetupOverview!D86</f>
        <v>Ohlins TX 2 way</v>
      </c>
      <c r="O53" s="541"/>
      <c r="P53" s="541"/>
      <c r="Q53" s="541"/>
      <c r="R53" s="541"/>
      <c r="S53" s="541"/>
      <c r="T53" s="541"/>
      <c r="U53" s="542"/>
      <c r="V53" s="7"/>
      <c r="W53" s="7"/>
      <c r="X53" s="59"/>
      <c r="Y53" s="19"/>
      <c r="Z53" s="19"/>
      <c r="AA53" s="19"/>
      <c r="AB53" s="19"/>
      <c r="AC53" s="19"/>
      <c r="AD53" s="19"/>
      <c r="AE53" s="19"/>
      <c r="AF53" s="19"/>
      <c r="AG53" s="59"/>
      <c r="AH53" s="36"/>
      <c r="AJ53" s="18"/>
      <c r="AK53" s="18"/>
      <c r="AL53" s="18"/>
      <c r="AM53" s="18"/>
      <c r="AN53" s="32"/>
      <c r="AO53" s="34"/>
      <c r="AP53" s="34"/>
      <c r="AQ53" s="18"/>
      <c r="AR53" s="28"/>
      <c r="AS53" s="28"/>
      <c r="AT53" s="408"/>
      <c r="AU53" s="408"/>
      <c r="AV53" s="408"/>
      <c r="AW53" s="409"/>
      <c r="AX53" s="37"/>
      <c r="AY53" s="34"/>
      <c r="AZ53" s="34"/>
      <c r="BA53" s="18"/>
      <c r="BB53" s="18"/>
      <c r="BC53" s="32"/>
      <c r="BD53" s="20"/>
      <c r="BE53" s="20"/>
      <c r="BF53" s="20"/>
      <c r="BG53" s="20"/>
    </row>
    <row r="54" spans="2:59" ht="12.95" customHeight="1" x14ac:dyDescent="0.2">
      <c r="B54" s="35"/>
      <c r="C54" s="19"/>
      <c r="D54" s="19"/>
      <c r="E54" s="19"/>
      <c r="F54" s="19"/>
      <c r="G54" s="19"/>
      <c r="H54" s="19"/>
      <c r="I54" s="19"/>
      <c r="J54" s="19"/>
      <c r="K54" s="340" t="s">
        <v>62</v>
      </c>
      <c r="L54" s="341"/>
      <c r="M54" s="341"/>
      <c r="N54" s="537">
        <f>SetupOverview!D87</f>
        <v>12</v>
      </c>
      <c r="O54" s="538"/>
      <c r="P54" s="538"/>
      <c r="Q54" s="538"/>
      <c r="R54" s="538"/>
      <c r="S54" s="538"/>
      <c r="T54" s="538"/>
      <c r="U54" s="539"/>
      <c r="V54" s="343"/>
      <c r="W54" s="343"/>
      <c r="X54" s="348"/>
      <c r="Y54" s="19"/>
      <c r="Z54" s="19"/>
      <c r="AA54" s="19"/>
      <c r="AB54" s="19"/>
      <c r="AC54" s="19"/>
      <c r="AD54" s="19"/>
      <c r="AE54" s="19"/>
      <c r="AF54" s="19"/>
      <c r="AG54" s="59"/>
      <c r="AH54" s="36"/>
      <c r="AJ54" s="18"/>
      <c r="AK54" s="18"/>
      <c r="AL54" s="18"/>
      <c r="AM54" s="18"/>
      <c r="AN54" s="32"/>
      <c r="AO54" s="34"/>
      <c r="AP54" s="34"/>
      <c r="AQ54" s="18"/>
      <c r="AR54" s="28"/>
      <c r="AS54" s="28"/>
      <c r="AT54" s="408"/>
      <c r="AU54" s="408"/>
      <c r="AV54" s="408"/>
      <c r="AW54" s="409"/>
      <c r="AX54" s="37"/>
      <c r="AY54" s="34"/>
      <c r="AZ54" s="34"/>
      <c r="BA54" s="18"/>
      <c r="BB54" s="18"/>
      <c r="BC54" s="32"/>
      <c r="BD54" s="20"/>
      <c r="BE54" s="20"/>
      <c r="BF54" s="20"/>
      <c r="BG54" s="20"/>
    </row>
    <row r="55" spans="2:59" ht="12.95" customHeight="1" x14ac:dyDescent="0.2">
      <c r="B55" s="35"/>
      <c r="C55" s="19"/>
      <c r="D55" s="19"/>
      <c r="E55" s="19"/>
      <c r="F55" s="19"/>
      <c r="G55" s="19"/>
      <c r="H55" s="19"/>
      <c r="I55" s="19"/>
      <c r="J55" s="19"/>
      <c r="K55" s="340" t="s">
        <v>63</v>
      </c>
      <c r="L55" s="341"/>
      <c r="M55" s="341"/>
      <c r="N55" s="537">
        <f>SetupOverview!D88</f>
        <v>12</v>
      </c>
      <c r="O55" s="538"/>
      <c r="P55" s="538"/>
      <c r="Q55" s="538"/>
      <c r="R55" s="538"/>
      <c r="S55" s="538"/>
      <c r="T55" s="538"/>
      <c r="U55" s="539"/>
      <c r="V55" s="343"/>
      <c r="W55" s="343"/>
      <c r="X55" s="348"/>
      <c r="Y55" s="19"/>
      <c r="Z55" s="19"/>
      <c r="AA55" s="19"/>
      <c r="AB55" s="19"/>
      <c r="AC55" s="19"/>
      <c r="AD55" s="19"/>
      <c r="AE55" s="19"/>
      <c r="AF55" s="19"/>
      <c r="AG55" s="59"/>
      <c r="AH55" s="36"/>
      <c r="AJ55" s="18"/>
      <c r="AK55" s="18"/>
      <c r="AL55" s="18"/>
      <c r="AM55" s="18"/>
      <c r="AN55" s="32"/>
      <c r="AO55" s="34"/>
      <c r="AP55" s="34"/>
      <c r="AQ55" s="18"/>
      <c r="AR55" s="18"/>
      <c r="AS55" s="18"/>
      <c r="AT55" s="24"/>
      <c r="AU55" s="23"/>
      <c r="AV55" s="23"/>
      <c r="AW55" s="23"/>
      <c r="AX55" s="18"/>
      <c r="AY55" s="18"/>
      <c r="AZ55" s="31"/>
      <c r="BA55" s="7"/>
      <c r="BB55" s="32"/>
      <c r="BC55" s="32"/>
      <c r="BD55" s="20"/>
      <c r="BE55" s="20"/>
      <c r="BF55" s="20"/>
      <c r="BG55" s="20"/>
    </row>
    <row r="56" spans="2:59" ht="13.5" thickBot="1" x14ac:dyDescent="0.25">
      <c r="B56" s="35"/>
      <c r="C56" s="7"/>
      <c r="D56" s="18"/>
      <c r="E56" s="18"/>
      <c r="F56" s="18"/>
      <c r="G56" s="6"/>
      <c r="H56" s="6"/>
      <c r="I56" s="6"/>
      <c r="J56" s="6"/>
      <c r="K56" s="404"/>
      <c r="L56" s="405"/>
      <c r="M56" s="405"/>
      <c r="N56" s="625"/>
      <c r="O56" s="625"/>
      <c r="P56" s="625"/>
      <c r="Q56" s="625"/>
      <c r="R56" s="625"/>
      <c r="S56" s="625"/>
      <c r="T56" s="625"/>
      <c r="U56" s="625"/>
      <c r="V56" s="407"/>
      <c r="W56" s="407"/>
      <c r="X56" s="60"/>
      <c r="Y56" s="9"/>
      <c r="Z56" s="9"/>
      <c r="AA56" s="9"/>
      <c r="AB56" s="6"/>
      <c r="AC56" s="18"/>
      <c r="AD56" s="18"/>
      <c r="AE56" s="18"/>
      <c r="AF56" s="7"/>
      <c r="AG56" s="59"/>
      <c r="AH56" s="36"/>
    </row>
    <row r="57" spans="2:59" ht="14.25" thickTop="1" thickBot="1" x14ac:dyDescent="0.25">
      <c r="B57" s="35"/>
      <c r="C57" s="7"/>
      <c r="D57" s="7"/>
      <c r="E57" s="7"/>
      <c r="F57" s="7"/>
      <c r="G57" s="6"/>
      <c r="H57" s="9"/>
      <c r="I57" s="9"/>
      <c r="J57" s="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9"/>
      <c r="Z57" s="9"/>
      <c r="AA57" s="9"/>
      <c r="AB57" s="6"/>
      <c r="AC57" s="18"/>
      <c r="AD57" s="18"/>
      <c r="AE57" s="18"/>
      <c r="AF57" s="7"/>
      <c r="AG57" s="59"/>
      <c r="AH57" s="36"/>
    </row>
    <row r="58" spans="2:59" x14ac:dyDescent="0.2">
      <c r="B58" s="35"/>
      <c r="C58" s="400" t="s">
        <v>22</v>
      </c>
      <c r="D58" s="401"/>
      <c r="E58" s="401"/>
      <c r="F58" s="602"/>
      <c r="G58" s="156"/>
      <c r="H58" s="156"/>
      <c r="I58" s="156"/>
      <c r="J58" s="157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65"/>
      <c r="Z58" s="166"/>
      <c r="AA58" s="166"/>
      <c r="AB58" s="166"/>
      <c r="AC58" s="608" t="s">
        <v>16</v>
      </c>
      <c r="AD58" s="609"/>
      <c r="AE58" s="609"/>
      <c r="AF58" s="610"/>
      <c r="AG58" s="59"/>
      <c r="AH58" s="36"/>
    </row>
    <row r="59" spans="2:59" x14ac:dyDescent="0.2">
      <c r="B59" s="35"/>
      <c r="C59" s="402"/>
      <c r="D59" s="403"/>
      <c r="E59" s="403"/>
      <c r="F59" s="603"/>
      <c r="G59" s="398" t="s">
        <v>367</v>
      </c>
      <c r="H59" s="398"/>
      <c r="I59" s="398" t="s">
        <v>35</v>
      </c>
      <c r="J59" s="35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399" t="s">
        <v>35</v>
      </c>
      <c r="Z59" s="398"/>
      <c r="AA59" s="398" t="s">
        <v>367</v>
      </c>
      <c r="AB59" s="398"/>
      <c r="AC59" s="611"/>
      <c r="AD59" s="612"/>
      <c r="AE59" s="612"/>
      <c r="AF59" s="613"/>
      <c r="AG59" s="59"/>
      <c r="AH59" s="36"/>
    </row>
    <row r="60" spans="2:59" ht="13.5" thickBot="1" x14ac:dyDescent="0.25">
      <c r="B60" s="35"/>
      <c r="C60" s="349" t="s">
        <v>26</v>
      </c>
      <c r="D60" s="504"/>
      <c r="E60" s="511">
        <f>SetupOverview!D46</f>
        <v>-1.5</v>
      </c>
      <c r="F60" s="511"/>
      <c r="G60" s="484"/>
      <c r="H60" s="485"/>
      <c r="I60" s="484">
        <f>IF(SetupOverview!D50="","",SetupOverview!D50)</f>
        <v>5</v>
      </c>
      <c r="J60" s="626"/>
      <c r="K60" s="19"/>
      <c r="L60" s="19"/>
      <c r="M60" s="19"/>
      <c r="N60" s="466" t="s">
        <v>32</v>
      </c>
      <c r="O60" s="466"/>
      <c r="P60" s="466"/>
      <c r="Q60" s="466"/>
      <c r="R60" s="466"/>
      <c r="S60" s="466"/>
      <c r="T60" s="466"/>
      <c r="U60" s="466"/>
      <c r="V60" s="19"/>
      <c r="W60" s="19"/>
      <c r="X60" s="19"/>
      <c r="Y60" s="500">
        <f>IF(SetupOverview!D51="","",SetupOverview!D51)</f>
        <v>5</v>
      </c>
      <c r="Z60" s="485"/>
      <c r="AA60" s="484"/>
      <c r="AB60" s="485"/>
      <c r="AC60" s="496">
        <f>SetupOverview!D47</f>
        <v>-1.5</v>
      </c>
      <c r="AD60" s="497"/>
      <c r="AE60" s="313" t="s">
        <v>25</v>
      </c>
      <c r="AF60" s="315"/>
      <c r="AG60" s="55"/>
      <c r="AH60" s="36"/>
    </row>
    <row r="61" spans="2:59" x14ac:dyDescent="0.2">
      <c r="B61" s="35"/>
      <c r="C61" s="349"/>
      <c r="D61" s="504"/>
      <c r="E61" s="511"/>
      <c r="F61" s="511"/>
      <c r="G61" s="486"/>
      <c r="H61" s="487"/>
      <c r="I61" s="486"/>
      <c r="J61" s="627"/>
      <c r="K61" s="19"/>
      <c r="L61" s="19"/>
      <c r="M61" s="19"/>
      <c r="N61" s="619">
        <f>SetupOverview!D38</f>
        <v>356</v>
      </c>
      <c r="O61" s="620"/>
      <c r="P61" s="620"/>
      <c r="Q61" s="620"/>
      <c r="R61" s="620"/>
      <c r="S61" s="620"/>
      <c r="T61" s="620"/>
      <c r="U61" s="621"/>
      <c r="V61" s="19"/>
      <c r="W61" s="19"/>
      <c r="X61" s="19"/>
      <c r="Y61" s="501"/>
      <c r="Z61" s="487"/>
      <c r="AA61" s="486"/>
      <c r="AB61" s="487"/>
      <c r="AC61" s="498"/>
      <c r="AD61" s="499"/>
      <c r="AE61" s="313"/>
      <c r="AF61" s="315"/>
      <c r="AG61" s="55"/>
      <c r="AH61" s="36"/>
    </row>
    <row r="62" spans="2:59" ht="13.5" thickBot="1" x14ac:dyDescent="0.25">
      <c r="B62" s="35"/>
      <c r="C62" s="349" t="s">
        <v>23</v>
      </c>
      <c r="D62" s="504"/>
      <c r="E62" s="505" t="str">
        <f>SetupOverview!D55</f>
        <v>2.0 IN</v>
      </c>
      <c r="F62" s="493"/>
      <c r="G62" s="484"/>
      <c r="H62" s="485"/>
      <c r="I62" s="161"/>
      <c r="J62" s="162"/>
      <c r="K62" s="331"/>
      <c r="L62" s="331"/>
      <c r="M62" s="331"/>
      <c r="N62" s="622"/>
      <c r="O62" s="623"/>
      <c r="P62" s="623"/>
      <c r="Q62" s="623"/>
      <c r="R62" s="623"/>
      <c r="S62" s="623"/>
      <c r="T62" s="623"/>
      <c r="U62" s="624"/>
      <c r="V62" s="46"/>
      <c r="W62" s="44"/>
      <c r="X62" s="47"/>
      <c r="Y62" s="167"/>
      <c r="Z62" s="163"/>
      <c r="AA62" s="484"/>
      <c r="AB62" s="485"/>
      <c r="AC62" s="492" t="str">
        <f>SetupOverview!D56</f>
        <v>2.0 IN</v>
      </c>
      <c r="AD62" s="493"/>
      <c r="AE62" s="313" t="s">
        <v>23</v>
      </c>
      <c r="AF62" s="315"/>
      <c r="AG62" s="55"/>
      <c r="AH62" s="36"/>
    </row>
    <row r="63" spans="2:59" ht="14.25" thickTop="1" thickBot="1" x14ac:dyDescent="0.25">
      <c r="B63" s="35"/>
      <c r="C63" s="349"/>
      <c r="D63" s="504"/>
      <c r="E63" s="506"/>
      <c r="F63" s="495"/>
      <c r="G63" s="486"/>
      <c r="H63" s="487"/>
      <c r="I63" s="330" t="s">
        <v>36</v>
      </c>
      <c r="J63" s="628"/>
      <c r="K63" s="331"/>
      <c r="L63" s="331"/>
      <c r="M63" s="331"/>
      <c r="N63" s="466" t="s">
        <v>368</v>
      </c>
      <c r="O63" s="466"/>
      <c r="P63" s="466"/>
      <c r="Q63" s="466"/>
      <c r="R63" s="466"/>
      <c r="S63" s="466"/>
      <c r="T63" s="466"/>
      <c r="U63" s="466"/>
      <c r="V63" s="43"/>
      <c r="W63" s="45"/>
      <c r="X63" s="44"/>
      <c r="Y63" s="502" t="s">
        <v>36</v>
      </c>
      <c r="Z63" s="314"/>
      <c r="AA63" s="486"/>
      <c r="AB63" s="487"/>
      <c r="AC63" s="494"/>
      <c r="AD63" s="495"/>
      <c r="AE63" s="313"/>
      <c r="AF63" s="315"/>
      <c r="AG63" s="55"/>
      <c r="AH63" s="36"/>
    </row>
    <row r="64" spans="2:59" x14ac:dyDescent="0.2">
      <c r="B64" s="35"/>
      <c r="C64" s="349" t="s">
        <v>24</v>
      </c>
      <c r="D64" s="504"/>
      <c r="E64" s="526">
        <f>-N61+406</f>
        <v>50</v>
      </c>
      <c r="F64" s="488"/>
      <c r="G64" s="488"/>
      <c r="H64" s="489"/>
      <c r="I64" s="484">
        <f>IF(SetupOverview!D41="","",SetupOverview!D41)</f>
        <v>25</v>
      </c>
      <c r="J64" s="626"/>
      <c r="K64" s="331"/>
      <c r="L64" s="331"/>
      <c r="M64" s="512"/>
      <c r="N64" s="531"/>
      <c r="O64" s="532"/>
      <c r="P64" s="532"/>
      <c r="Q64" s="532"/>
      <c r="R64" s="532"/>
      <c r="S64" s="532"/>
      <c r="T64" s="532"/>
      <c r="U64" s="533"/>
      <c r="V64" s="513"/>
      <c r="W64" s="324"/>
      <c r="X64" s="324"/>
      <c r="Y64" s="500">
        <f>IF(SetupOverview!D42="","",SetupOverview!D42)</f>
        <v>25</v>
      </c>
      <c r="Z64" s="485"/>
      <c r="AA64" s="526">
        <f>-N61+406</f>
        <v>50</v>
      </c>
      <c r="AB64" s="488"/>
      <c r="AC64" s="488"/>
      <c r="AD64" s="489"/>
      <c r="AE64" s="313" t="s">
        <v>24</v>
      </c>
      <c r="AF64" s="315"/>
      <c r="AG64" s="55"/>
      <c r="AH64" s="36"/>
    </row>
    <row r="65" spans="2:34" ht="13.5" thickBot="1" x14ac:dyDescent="0.25">
      <c r="B65" s="35"/>
      <c r="C65" s="349"/>
      <c r="D65" s="504"/>
      <c r="E65" s="527"/>
      <c r="F65" s="490"/>
      <c r="G65" s="490"/>
      <c r="H65" s="491"/>
      <c r="I65" s="486"/>
      <c r="J65" s="627"/>
      <c r="K65" s="341"/>
      <c r="L65" s="341"/>
      <c r="M65" s="379"/>
      <c r="N65" s="534"/>
      <c r="O65" s="535"/>
      <c r="P65" s="535"/>
      <c r="Q65" s="535"/>
      <c r="R65" s="535"/>
      <c r="S65" s="535"/>
      <c r="T65" s="535"/>
      <c r="U65" s="536"/>
      <c r="V65" s="514"/>
      <c r="W65" s="343"/>
      <c r="X65" s="343"/>
      <c r="Y65" s="501"/>
      <c r="Z65" s="487"/>
      <c r="AA65" s="527"/>
      <c r="AB65" s="490"/>
      <c r="AC65" s="490"/>
      <c r="AD65" s="491"/>
      <c r="AE65" s="313"/>
      <c r="AF65" s="315"/>
      <c r="AG65" s="55"/>
      <c r="AH65" s="36"/>
    </row>
    <row r="66" spans="2:34" ht="12.95" customHeight="1" thickTop="1" thickBot="1" x14ac:dyDescent="0.25">
      <c r="B66" s="35"/>
      <c r="C66" s="349" t="s">
        <v>17</v>
      </c>
      <c r="D66" s="314"/>
      <c r="E66" s="314"/>
      <c r="F66" s="314"/>
      <c r="G66" s="158"/>
      <c r="H66" s="159"/>
      <c r="I66" s="159"/>
      <c r="J66" s="160"/>
      <c r="K66" s="9"/>
      <c r="L66" s="11"/>
      <c r="M66" s="11"/>
      <c r="N66" s="503" t="s">
        <v>60</v>
      </c>
      <c r="O66" s="503"/>
      <c r="P66" s="503"/>
      <c r="Q66" s="503"/>
      <c r="R66" s="503"/>
      <c r="S66" s="503"/>
      <c r="T66" s="503"/>
      <c r="U66" s="503"/>
      <c r="V66" s="16"/>
      <c r="W66" s="16"/>
      <c r="X66" s="9"/>
      <c r="Y66" s="168"/>
      <c r="Z66" s="159"/>
      <c r="AA66" s="159"/>
      <c r="AB66" s="164"/>
      <c r="AC66" s="314" t="s">
        <v>17</v>
      </c>
      <c r="AD66" s="314"/>
      <c r="AE66" s="314"/>
      <c r="AF66" s="315"/>
      <c r="AG66" s="55"/>
      <c r="AH66" s="36"/>
    </row>
    <row r="67" spans="2:34" ht="12.95" customHeight="1" thickBot="1" x14ac:dyDescent="0.25">
      <c r="B67" s="35"/>
      <c r="C67" s="629" t="s">
        <v>14</v>
      </c>
      <c r="D67" s="575"/>
      <c r="E67" s="575"/>
      <c r="F67" s="575"/>
      <c r="G67" s="578">
        <f>IF(SetupOverview!D23="","",SetupOverview!D23)</f>
        <v>307</v>
      </c>
      <c r="H67" s="579"/>
      <c r="I67" s="579"/>
      <c r="J67" s="614"/>
      <c r="K67" s="9"/>
      <c r="L67" s="11"/>
      <c r="M67" s="11"/>
      <c r="N67" s="528">
        <f>AVERAGE(E64,AA64)-AVERAGE(E20,AA20)</f>
        <v>17</v>
      </c>
      <c r="O67" s="529"/>
      <c r="P67" s="529"/>
      <c r="Q67" s="529"/>
      <c r="R67" s="529"/>
      <c r="S67" s="529"/>
      <c r="T67" s="529"/>
      <c r="U67" s="530"/>
      <c r="V67" s="16"/>
      <c r="W67" s="16"/>
      <c r="X67" s="9"/>
      <c r="Y67" s="604">
        <f>IF(SetupOverview!D24="","",SetupOverview!D24)</f>
        <v>311</v>
      </c>
      <c r="Z67" s="579"/>
      <c r="AA67" s="579"/>
      <c r="AB67" s="585"/>
      <c r="AC67" s="520" t="s">
        <v>14</v>
      </c>
      <c r="AD67" s="520"/>
      <c r="AE67" s="520"/>
      <c r="AF67" s="521"/>
      <c r="AG67" s="55"/>
      <c r="AH67" s="36"/>
    </row>
    <row r="68" spans="2:34" ht="14.25" customHeight="1" thickTop="1" thickBot="1" x14ac:dyDescent="0.25">
      <c r="B68" s="35"/>
      <c r="C68" s="630"/>
      <c r="D68" s="631"/>
      <c r="E68" s="631"/>
      <c r="F68" s="631"/>
      <c r="G68" s="615"/>
      <c r="H68" s="616"/>
      <c r="I68" s="616"/>
      <c r="J68" s="617"/>
      <c r="K68" s="6"/>
      <c r="L68" s="6"/>
      <c r="M68" s="6"/>
      <c r="N68" s="6"/>
      <c r="O68" s="6"/>
      <c r="P68" s="13"/>
      <c r="Q68" s="13"/>
      <c r="R68" s="13"/>
      <c r="S68" s="13"/>
      <c r="T68" s="13"/>
      <c r="U68" s="13"/>
      <c r="V68" s="6"/>
      <c r="W68" s="6"/>
      <c r="X68" s="6"/>
      <c r="Y68" s="605"/>
      <c r="Z68" s="606"/>
      <c r="AA68" s="606"/>
      <c r="AB68" s="607"/>
      <c r="AC68" s="522"/>
      <c r="AD68" s="522"/>
      <c r="AE68" s="522"/>
      <c r="AF68" s="523"/>
      <c r="AG68" s="61"/>
      <c r="AH68" s="36"/>
    </row>
    <row r="69" spans="2:34" ht="14.25" customHeight="1" thickTop="1" thickBot="1" x14ac:dyDescent="0.25">
      <c r="B69" s="35"/>
      <c r="C69" s="6"/>
      <c r="D69" s="9"/>
      <c r="E69" s="9"/>
      <c r="F69" s="9"/>
      <c r="G69" s="267"/>
      <c r="H69" s="267"/>
      <c r="I69" s="267"/>
      <c r="J69" s="267"/>
      <c r="K69" s="6"/>
      <c r="L69" s="6"/>
      <c r="M69" s="6"/>
      <c r="N69" s="6"/>
      <c r="O69" s="6"/>
      <c r="P69" s="249"/>
      <c r="Q69" s="249"/>
      <c r="R69" s="249"/>
      <c r="S69" s="249"/>
      <c r="T69" s="249"/>
      <c r="U69" s="249"/>
      <c r="V69" s="6"/>
      <c r="W69" s="6"/>
      <c r="X69" s="6"/>
      <c r="Y69" s="267"/>
      <c r="Z69" s="267"/>
      <c r="AA69" s="267"/>
      <c r="AB69" s="267"/>
      <c r="AC69" s="9"/>
      <c r="AD69" s="9"/>
      <c r="AE69" s="9"/>
      <c r="AF69" s="9"/>
      <c r="AG69" s="61"/>
      <c r="AH69" s="36"/>
    </row>
    <row r="70" spans="2:34" ht="14.25" customHeight="1" x14ac:dyDescent="0.2">
      <c r="B70" s="35"/>
      <c r="C70" s="6"/>
      <c r="D70" s="9"/>
      <c r="E70" s="9"/>
      <c r="F70" s="9"/>
      <c r="G70" s="267"/>
      <c r="I70" s="276"/>
      <c r="J70" s="277"/>
      <c r="K70" s="375" t="s">
        <v>482</v>
      </c>
      <c r="L70" s="376"/>
      <c r="M70" s="49"/>
      <c r="N70" s="49"/>
      <c r="O70" s="49"/>
      <c r="P70" s="49"/>
      <c r="Q70" s="49"/>
      <c r="R70" s="49"/>
      <c r="S70" s="49"/>
      <c r="T70" s="49"/>
      <c r="U70" s="49"/>
      <c r="V70" s="2"/>
      <c r="W70" s="2"/>
      <c r="X70" s="50"/>
      <c r="Y70" s="187"/>
      <c r="Z70" s="6"/>
      <c r="AB70" s="267"/>
      <c r="AC70" s="9"/>
      <c r="AD70" s="9"/>
      <c r="AE70" s="9"/>
      <c r="AF70" s="9"/>
      <c r="AG70" s="61"/>
      <c r="AH70" s="36"/>
    </row>
    <row r="71" spans="2:34" ht="14.25" customHeight="1" x14ac:dyDescent="0.2">
      <c r="B71" s="35"/>
      <c r="C71" s="6"/>
      <c r="D71" s="9"/>
      <c r="E71" s="9"/>
      <c r="F71" s="9"/>
      <c r="G71" s="267"/>
      <c r="I71" s="9"/>
      <c r="J71" s="278"/>
      <c r="K71" s="274"/>
      <c r="L71" s="273"/>
      <c r="M71" s="273"/>
      <c r="N71" s="268" t="s">
        <v>483</v>
      </c>
      <c r="O71" s="618" t="str">
        <f>SetupOverview!D119</f>
        <v>9.3F-7.5R</v>
      </c>
      <c r="P71" s="618"/>
      <c r="Q71" s="618"/>
      <c r="R71" s="251"/>
      <c r="S71" s="18"/>
      <c r="T71" s="18"/>
      <c r="U71" s="261" t="s">
        <v>485</v>
      </c>
      <c r="V71" s="387">
        <f>SetupOverview!D121</f>
        <v>52.4</v>
      </c>
      <c r="W71" s="388"/>
      <c r="X71" s="51"/>
      <c r="Y71" s="187"/>
      <c r="Z71" s="18"/>
      <c r="AB71" s="267"/>
      <c r="AC71" s="9"/>
      <c r="AD71" s="9"/>
      <c r="AE71" s="9"/>
      <c r="AF71" s="9"/>
      <c r="AG71" s="61"/>
      <c r="AH71" s="36"/>
    </row>
    <row r="72" spans="2:34" ht="14.25" customHeight="1" x14ac:dyDescent="0.2">
      <c r="B72" s="35"/>
      <c r="C72" s="6"/>
      <c r="D72" s="9"/>
      <c r="E72" s="9"/>
      <c r="F72" s="9"/>
      <c r="G72" s="267"/>
      <c r="I72" s="9"/>
      <c r="J72" s="278"/>
      <c r="K72" s="274"/>
      <c r="L72" s="268"/>
      <c r="M72" s="268"/>
      <c r="N72" s="268" t="s">
        <v>484</v>
      </c>
      <c r="O72" s="618" t="str">
        <f>SetupOverview!D120</f>
        <v>(Set 1)</v>
      </c>
      <c r="P72" s="618"/>
      <c r="Q72" s="618"/>
      <c r="R72" s="251"/>
      <c r="S72" s="18"/>
      <c r="T72" s="18"/>
      <c r="U72" s="268"/>
      <c r="V72" s="268"/>
      <c r="W72" s="268"/>
      <c r="X72" s="51"/>
      <c r="Y72" s="187"/>
      <c r="Z72" s="268"/>
      <c r="AB72" s="267"/>
      <c r="AC72" s="9"/>
      <c r="AD72" s="9"/>
      <c r="AE72" s="9"/>
      <c r="AF72" s="9"/>
      <c r="AG72" s="61"/>
      <c r="AH72" s="36"/>
    </row>
    <row r="73" spans="2:34" ht="14.25" customHeight="1" thickBot="1" x14ac:dyDescent="0.25">
      <c r="B73" s="35"/>
      <c r="C73" s="6"/>
      <c r="D73" s="9"/>
      <c r="E73" s="9"/>
      <c r="F73" s="9"/>
      <c r="G73" s="267"/>
      <c r="I73" s="9"/>
      <c r="J73" s="278"/>
      <c r="K73" s="275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4"/>
      <c r="Y73" s="279"/>
      <c r="Z73" s="280"/>
      <c r="AB73" s="267"/>
      <c r="AC73" s="9"/>
      <c r="AD73" s="9"/>
      <c r="AE73" s="9"/>
      <c r="AF73" s="9"/>
      <c r="AG73" s="61"/>
      <c r="AH73" s="36"/>
    </row>
    <row r="74" spans="2:34" ht="14.25" thickTop="1" thickBot="1" x14ac:dyDescent="0.25">
      <c r="B74" s="35"/>
      <c r="C74" s="6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59"/>
      <c r="AH74" s="36"/>
    </row>
    <row r="75" spans="2:34" x14ac:dyDescent="0.2">
      <c r="B75" s="5"/>
      <c r="C75" s="6"/>
      <c r="D75" s="9"/>
      <c r="E75" s="390"/>
      <c r="F75" s="390"/>
      <c r="G75" s="391"/>
      <c r="H75" s="375" t="s">
        <v>19</v>
      </c>
      <c r="I75" s="376"/>
      <c r="J75" s="376"/>
      <c r="K75" s="10"/>
      <c r="L75" s="10"/>
      <c r="M75" s="49"/>
      <c r="N75" s="49"/>
      <c r="O75" s="49"/>
      <c r="P75" s="49"/>
      <c r="Q75" s="49"/>
      <c r="R75" s="49"/>
      <c r="S75" s="49"/>
      <c r="T75" s="49"/>
      <c r="U75" s="49"/>
      <c r="V75" s="2"/>
      <c r="W75" s="2"/>
      <c r="X75" s="49"/>
      <c r="Y75" s="49"/>
      <c r="Z75" s="2"/>
      <c r="AA75" s="50"/>
      <c r="AB75" s="13"/>
      <c r="AC75" s="13"/>
      <c r="AD75" s="9"/>
      <c r="AE75" s="9"/>
      <c r="AF75" s="9"/>
      <c r="AG75" s="59"/>
      <c r="AH75" s="36"/>
    </row>
    <row r="76" spans="2:34" ht="14.25" customHeight="1" x14ac:dyDescent="0.2">
      <c r="B76" s="5"/>
      <c r="C76" s="6"/>
      <c r="D76" s="9"/>
      <c r="E76" s="341"/>
      <c r="F76" s="341"/>
      <c r="G76" s="379"/>
      <c r="H76" s="340" t="s">
        <v>33</v>
      </c>
      <c r="I76" s="341"/>
      <c r="J76" s="342"/>
      <c r="K76" s="317" t="str">
        <f>SetupOverview!D103</f>
        <v>hole 4</v>
      </c>
      <c r="L76" s="318"/>
      <c r="M76" s="319"/>
      <c r="N76" s="380" t="s">
        <v>44</v>
      </c>
      <c r="O76" s="381"/>
      <c r="P76" s="381"/>
      <c r="Q76" s="382"/>
      <c r="R76" s="377">
        <f>SetupOverview!D104</f>
        <v>0</v>
      </c>
      <c r="S76" s="383"/>
      <c r="T76" s="383"/>
      <c r="U76" s="378"/>
      <c r="V76" s="384" t="s">
        <v>45</v>
      </c>
      <c r="W76" s="385"/>
      <c r="X76" s="386"/>
      <c r="Y76" s="377" t="str">
        <f>SetupOverview!D105</f>
        <v>50/27</v>
      </c>
      <c r="Z76" s="378"/>
      <c r="AA76" s="51"/>
      <c r="AB76" s="343"/>
      <c r="AC76" s="343"/>
      <c r="AD76" s="343"/>
      <c r="AE76" s="9"/>
      <c r="AF76" s="9"/>
      <c r="AG76" s="59"/>
      <c r="AH76" s="36"/>
    </row>
    <row r="77" spans="2:34" x14ac:dyDescent="0.2">
      <c r="B77" s="5"/>
      <c r="C77" s="6"/>
      <c r="D77" s="9"/>
      <c r="E77" s="341"/>
      <c r="F77" s="341"/>
      <c r="G77" s="379"/>
      <c r="H77" s="340" t="s">
        <v>29</v>
      </c>
      <c r="I77" s="341"/>
      <c r="J77" s="342"/>
      <c r="K77" s="317" t="str">
        <f>IF(SetupOverview!D106="","",SetupOverview!D106)</f>
        <v/>
      </c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51"/>
      <c r="AB77" s="343"/>
      <c r="AC77" s="343"/>
      <c r="AD77" s="343"/>
      <c r="AE77" s="9"/>
      <c r="AF77" s="9"/>
      <c r="AG77" s="59"/>
      <c r="AH77" s="36"/>
    </row>
    <row r="78" spans="2:34" ht="13.5" thickBot="1" x14ac:dyDescent="0.25">
      <c r="B78" s="5"/>
      <c r="C78" s="6"/>
      <c r="D78" s="9"/>
      <c r="E78" s="345"/>
      <c r="F78" s="345"/>
      <c r="G78" s="372"/>
      <c r="H78" s="373"/>
      <c r="I78" s="374"/>
      <c r="J78" s="374"/>
      <c r="K78" s="52"/>
      <c r="L78" s="52"/>
      <c r="M78" s="52"/>
      <c r="N78" s="52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4"/>
      <c r="AB78" s="14"/>
      <c r="AC78" s="14"/>
      <c r="AD78" s="9"/>
      <c r="AE78" s="9"/>
      <c r="AF78" s="9"/>
      <c r="AG78" s="59"/>
      <c r="AH78" s="36"/>
    </row>
    <row r="79" spans="2:34" ht="14.25" thickTop="1" thickBot="1" x14ac:dyDescent="0.25">
      <c r="B79" s="3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9"/>
      <c r="AG79" s="59"/>
      <c r="AH79" s="36"/>
    </row>
    <row r="80" spans="2:34" x14ac:dyDescent="0.2">
      <c r="B80" s="35"/>
      <c r="C80" s="6"/>
      <c r="D80" s="375" t="s">
        <v>20</v>
      </c>
      <c r="E80" s="376"/>
      <c r="F80" s="376"/>
      <c r="G80" s="376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40"/>
      <c r="AF80" s="9"/>
      <c r="AG80" s="59"/>
      <c r="AH80" s="36"/>
    </row>
    <row r="81" spans="1:35" ht="15.75" customHeight="1" x14ac:dyDescent="0.2">
      <c r="B81" s="35"/>
      <c r="C81" s="6"/>
      <c r="D81" s="366"/>
      <c r="E81" s="367"/>
      <c r="F81" s="367"/>
      <c r="G81" s="367"/>
      <c r="H81" s="367"/>
      <c r="I81" s="367"/>
      <c r="J81" s="367"/>
      <c r="K81" s="367"/>
      <c r="L81" s="367"/>
      <c r="M81" s="367"/>
      <c r="N81" s="367"/>
      <c r="O81" s="367"/>
      <c r="P81" s="367"/>
      <c r="Q81" s="367"/>
      <c r="R81" s="367"/>
      <c r="S81" s="367"/>
      <c r="T81" s="367"/>
      <c r="U81" s="367"/>
      <c r="V81" s="367"/>
      <c r="W81" s="367"/>
      <c r="X81" s="367"/>
      <c r="Y81" s="367"/>
      <c r="Z81" s="367"/>
      <c r="AA81" s="367"/>
      <c r="AB81" s="367"/>
      <c r="AC81" s="367"/>
      <c r="AD81" s="367"/>
      <c r="AE81" s="368"/>
      <c r="AF81" s="9"/>
      <c r="AG81" s="59"/>
      <c r="AH81" s="36"/>
    </row>
    <row r="82" spans="1:35" ht="15.75" customHeight="1" x14ac:dyDescent="0.2">
      <c r="B82" s="35"/>
      <c r="C82" s="6"/>
      <c r="D82" s="366"/>
      <c r="E82" s="367"/>
      <c r="F82" s="367"/>
      <c r="G82" s="367"/>
      <c r="H82" s="367"/>
      <c r="I82" s="367"/>
      <c r="J82" s="367"/>
      <c r="K82" s="367"/>
      <c r="L82" s="367"/>
      <c r="M82" s="367"/>
      <c r="N82" s="367"/>
      <c r="O82" s="367"/>
      <c r="P82" s="367"/>
      <c r="Q82" s="367"/>
      <c r="R82" s="367"/>
      <c r="S82" s="367"/>
      <c r="T82" s="367"/>
      <c r="U82" s="367"/>
      <c r="V82" s="367"/>
      <c r="W82" s="367"/>
      <c r="X82" s="367"/>
      <c r="Y82" s="367"/>
      <c r="Z82" s="367"/>
      <c r="AA82" s="367"/>
      <c r="AB82" s="367"/>
      <c r="AC82" s="367"/>
      <c r="AD82" s="367"/>
      <c r="AE82" s="368"/>
      <c r="AF82" s="9"/>
      <c r="AG82" s="59"/>
      <c r="AH82" s="36"/>
    </row>
    <row r="83" spans="1:35" ht="15.75" customHeight="1" x14ac:dyDescent="0.2">
      <c r="B83" s="35"/>
      <c r="C83" s="6"/>
      <c r="D83" s="366"/>
      <c r="E83" s="367"/>
      <c r="F83" s="367"/>
      <c r="G83" s="367"/>
      <c r="H83" s="367"/>
      <c r="I83" s="367"/>
      <c r="J83" s="367"/>
      <c r="K83" s="367"/>
      <c r="L83" s="367"/>
      <c r="M83" s="367"/>
      <c r="N83" s="367"/>
      <c r="O83" s="367"/>
      <c r="P83" s="367"/>
      <c r="Q83" s="367"/>
      <c r="R83" s="367"/>
      <c r="S83" s="367"/>
      <c r="T83" s="367"/>
      <c r="U83" s="367"/>
      <c r="V83" s="367"/>
      <c r="W83" s="367"/>
      <c r="X83" s="367"/>
      <c r="Y83" s="367"/>
      <c r="Z83" s="367"/>
      <c r="AA83" s="367"/>
      <c r="AB83" s="367"/>
      <c r="AC83" s="367"/>
      <c r="AD83" s="367"/>
      <c r="AE83" s="368"/>
      <c r="AF83" s="9"/>
      <c r="AG83" s="59"/>
      <c r="AH83" s="36"/>
    </row>
    <row r="84" spans="1:35" ht="15.75" customHeight="1" x14ac:dyDescent="0.2">
      <c r="B84" s="35"/>
      <c r="C84" s="6"/>
      <c r="D84" s="366"/>
      <c r="E84" s="367"/>
      <c r="F84" s="367"/>
      <c r="G84" s="367"/>
      <c r="H84" s="367"/>
      <c r="I84" s="367"/>
      <c r="J84" s="367"/>
      <c r="K84" s="367"/>
      <c r="L84" s="367"/>
      <c r="M84" s="367"/>
      <c r="N84" s="367"/>
      <c r="O84" s="367"/>
      <c r="P84" s="367"/>
      <c r="Q84" s="367"/>
      <c r="R84" s="367"/>
      <c r="S84" s="367"/>
      <c r="T84" s="367"/>
      <c r="U84" s="367"/>
      <c r="V84" s="367"/>
      <c r="W84" s="367"/>
      <c r="X84" s="367"/>
      <c r="Y84" s="367"/>
      <c r="Z84" s="367"/>
      <c r="AA84" s="367"/>
      <c r="AB84" s="367"/>
      <c r="AC84" s="367"/>
      <c r="AD84" s="367"/>
      <c r="AE84" s="368"/>
      <c r="AF84" s="9"/>
      <c r="AG84" s="59"/>
      <c r="AH84" s="36"/>
    </row>
    <row r="85" spans="1:35" ht="15.75" customHeight="1" x14ac:dyDescent="0.2">
      <c r="B85" s="35"/>
      <c r="C85" s="6"/>
      <c r="D85" s="366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8"/>
      <c r="AF85" s="9"/>
      <c r="AG85" s="59"/>
      <c r="AH85" s="36"/>
    </row>
    <row r="86" spans="1:35" ht="15" customHeight="1" x14ac:dyDescent="0.2">
      <c r="B86" s="35"/>
      <c r="C86" s="6"/>
      <c r="D86" s="366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8"/>
      <c r="AF86" s="9"/>
      <c r="AG86" s="59"/>
      <c r="AH86" s="36"/>
    </row>
    <row r="87" spans="1:35" ht="15" customHeight="1" thickBot="1" x14ac:dyDescent="0.25">
      <c r="B87" s="35"/>
      <c r="C87" s="62"/>
      <c r="D87" s="369"/>
      <c r="E87" s="370"/>
      <c r="F87" s="370"/>
      <c r="G87" s="370"/>
      <c r="H87" s="370"/>
      <c r="I87" s="370"/>
      <c r="J87" s="370"/>
      <c r="K87" s="370"/>
      <c r="L87" s="370"/>
      <c r="M87" s="370"/>
      <c r="N87" s="370"/>
      <c r="O87" s="370"/>
      <c r="P87" s="370"/>
      <c r="Q87" s="370"/>
      <c r="R87" s="370"/>
      <c r="S87" s="370"/>
      <c r="T87" s="370"/>
      <c r="U87" s="370"/>
      <c r="V87" s="370"/>
      <c r="W87" s="370"/>
      <c r="X87" s="370"/>
      <c r="Y87" s="370"/>
      <c r="Z87" s="370"/>
      <c r="AA87" s="370"/>
      <c r="AB87" s="370"/>
      <c r="AC87" s="370"/>
      <c r="AD87" s="370"/>
      <c r="AE87" s="371"/>
      <c r="AF87" s="38"/>
      <c r="AG87" s="59"/>
      <c r="AH87" s="36"/>
    </row>
    <row r="88" spans="1:35" ht="15" customHeight="1" thickBot="1" x14ac:dyDescent="0.25">
      <c r="B88" s="189"/>
      <c r="C88" s="56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190"/>
      <c r="AG88" s="60"/>
      <c r="AH88" s="36"/>
    </row>
    <row r="89" spans="1:35" ht="13.5" thickTop="1" x14ac:dyDescent="0.2">
      <c r="A89" s="20"/>
      <c r="B89" s="75"/>
      <c r="C89" s="76"/>
      <c r="D89" s="560" t="s">
        <v>68</v>
      </c>
      <c r="E89" s="560"/>
      <c r="F89" s="560"/>
      <c r="G89" s="76"/>
      <c r="H89" s="76"/>
      <c r="I89" s="560" t="s">
        <v>73</v>
      </c>
      <c r="J89" s="560"/>
      <c r="K89" s="560"/>
      <c r="L89" s="76"/>
      <c r="M89" s="560" t="s">
        <v>74</v>
      </c>
      <c r="N89" s="560"/>
      <c r="O89" s="560"/>
      <c r="P89" s="560"/>
      <c r="Q89" s="560"/>
      <c r="R89" s="560"/>
      <c r="S89" s="76"/>
      <c r="T89" s="76"/>
      <c r="U89" s="560" t="s">
        <v>81</v>
      </c>
      <c r="V89" s="560"/>
      <c r="W89" s="560"/>
      <c r="X89" s="560"/>
      <c r="Y89" s="560"/>
      <c r="Z89" s="76"/>
      <c r="AA89" s="561" t="s">
        <v>65</v>
      </c>
      <c r="AB89" s="561"/>
      <c r="AC89" s="561"/>
      <c r="AD89" s="561"/>
      <c r="AE89" s="561"/>
      <c r="AF89" s="76"/>
      <c r="AG89" s="85"/>
      <c r="AH89" s="20"/>
      <c r="AI89" s="20"/>
    </row>
    <row r="90" spans="1:35" ht="15" x14ac:dyDescent="0.25">
      <c r="A90" s="20"/>
      <c r="B90" s="77"/>
      <c r="C90" s="78"/>
      <c r="D90" s="79" t="s">
        <v>69</v>
      </c>
      <c r="E90" s="87">
        <v>2</v>
      </c>
      <c r="F90" s="553" t="s">
        <v>70</v>
      </c>
      <c r="G90" s="78"/>
      <c r="H90" s="78"/>
      <c r="I90" s="79" t="s">
        <v>69</v>
      </c>
      <c r="J90" s="87">
        <v>20</v>
      </c>
      <c r="K90" s="553" t="s">
        <v>70</v>
      </c>
      <c r="L90" s="78"/>
      <c r="M90" s="79" t="s">
        <v>75</v>
      </c>
      <c r="N90" s="569">
        <v>1</v>
      </c>
      <c r="O90" s="570"/>
      <c r="P90" s="556" t="s">
        <v>76</v>
      </c>
      <c r="Q90" s="565"/>
      <c r="R90" s="557"/>
      <c r="S90" s="78"/>
      <c r="T90" s="78"/>
      <c r="U90" s="79" t="s">
        <v>83</v>
      </c>
      <c r="V90" s="569">
        <v>0.1</v>
      </c>
      <c r="W90" s="570"/>
      <c r="X90" s="556" t="s">
        <v>82</v>
      </c>
      <c r="Y90" s="557"/>
      <c r="Z90" s="78"/>
      <c r="AA90" s="79" t="s">
        <v>67</v>
      </c>
      <c r="AB90" s="92">
        <v>175</v>
      </c>
      <c r="AC90" s="84"/>
      <c r="AD90" s="92">
        <v>1000</v>
      </c>
      <c r="AE90" s="80" t="s">
        <v>66</v>
      </c>
      <c r="AF90" s="78"/>
      <c r="AG90" s="81"/>
      <c r="AH90" s="20"/>
      <c r="AI90" s="20"/>
    </row>
    <row r="91" spans="1:35" ht="14.25" customHeight="1" x14ac:dyDescent="0.25">
      <c r="A91" s="20"/>
      <c r="B91" s="77"/>
      <c r="C91" s="78"/>
      <c r="D91" s="79" t="s">
        <v>71</v>
      </c>
      <c r="E91" s="88">
        <f>E90*1.15</f>
        <v>2.2999999999999998</v>
      </c>
      <c r="F91" s="554"/>
      <c r="G91" s="78"/>
      <c r="H91" s="78"/>
      <c r="I91" s="82" t="s">
        <v>90</v>
      </c>
      <c r="J91" s="88">
        <f>J90*0.9</f>
        <v>18</v>
      </c>
      <c r="K91" s="554"/>
      <c r="L91" s="78"/>
      <c r="M91" s="79" t="s">
        <v>77</v>
      </c>
      <c r="N91" s="571">
        <f>N90*0.05</f>
        <v>0.05</v>
      </c>
      <c r="O91" s="572"/>
      <c r="P91" s="558"/>
      <c r="Q91" s="573"/>
      <c r="R91" s="559"/>
      <c r="S91" s="78"/>
      <c r="T91" s="78"/>
      <c r="U91" s="83" t="s">
        <v>105</v>
      </c>
      <c r="V91" s="571">
        <f>V90*5.5</f>
        <v>0.55000000000000004</v>
      </c>
      <c r="W91" s="572"/>
      <c r="X91" s="558"/>
      <c r="Y91" s="559"/>
      <c r="Z91" s="78"/>
      <c r="AA91" s="79" t="s">
        <v>66</v>
      </c>
      <c r="AB91" s="91">
        <f>AB90/0.175126834999975</f>
        <v>999.27575348475284</v>
      </c>
      <c r="AC91" s="84"/>
      <c r="AD91" s="91">
        <f>AD90*0.175126834999975</f>
        <v>175.12683499997499</v>
      </c>
      <c r="AE91" s="80" t="s">
        <v>67</v>
      </c>
      <c r="AF91" s="78"/>
      <c r="AG91" s="81"/>
      <c r="AH91" s="20"/>
      <c r="AI91" s="20"/>
    </row>
    <row r="92" spans="1:35" x14ac:dyDescent="0.2">
      <c r="A92" s="20"/>
      <c r="B92" s="77"/>
      <c r="C92" s="78"/>
      <c r="D92" s="79"/>
      <c r="E92" s="89"/>
      <c r="F92" s="80"/>
      <c r="G92" s="78"/>
      <c r="H92" s="78"/>
      <c r="I92" s="79"/>
      <c r="J92" s="86"/>
      <c r="K92" s="80"/>
      <c r="L92" s="562" t="s">
        <v>78</v>
      </c>
      <c r="M92" s="562"/>
      <c r="N92" s="562"/>
      <c r="O92" s="562"/>
      <c r="P92" s="562"/>
      <c r="Q92" s="562"/>
      <c r="R92" s="562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81"/>
      <c r="AH92" s="20"/>
      <c r="AI92" s="20"/>
    </row>
    <row r="93" spans="1:35" ht="15" x14ac:dyDescent="0.25">
      <c r="A93" s="20"/>
      <c r="B93" s="77"/>
      <c r="C93" s="78"/>
      <c r="D93" s="79" t="s">
        <v>69</v>
      </c>
      <c r="E93" s="90">
        <v>2</v>
      </c>
      <c r="F93" s="553" t="s">
        <v>72</v>
      </c>
      <c r="G93" s="78"/>
      <c r="H93" s="78"/>
      <c r="I93" s="79" t="s">
        <v>69</v>
      </c>
      <c r="J93" s="90">
        <v>12</v>
      </c>
      <c r="K93" s="553" t="s">
        <v>72</v>
      </c>
      <c r="L93" s="78"/>
      <c r="M93" s="79" t="s">
        <v>79</v>
      </c>
      <c r="N93" s="569">
        <v>0.4</v>
      </c>
      <c r="O93" s="570"/>
      <c r="P93" s="556" t="s">
        <v>80</v>
      </c>
      <c r="Q93" s="565"/>
      <c r="R93" s="557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81"/>
      <c r="AH93" s="20"/>
      <c r="AI93" s="20"/>
    </row>
    <row r="94" spans="1:35" ht="15.75" thickBot="1" x14ac:dyDescent="0.3">
      <c r="A94" s="20"/>
      <c r="B94" s="191"/>
      <c r="C94" s="192"/>
      <c r="D94" s="193" t="s">
        <v>71</v>
      </c>
      <c r="E94" s="194">
        <f>E93*0.715</f>
        <v>1.43</v>
      </c>
      <c r="F94" s="555"/>
      <c r="G94" s="192"/>
      <c r="H94" s="192"/>
      <c r="I94" s="193" t="s">
        <v>71</v>
      </c>
      <c r="J94" s="194">
        <f>J93*0.75</f>
        <v>9</v>
      </c>
      <c r="K94" s="555"/>
      <c r="L94" s="192"/>
      <c r="M94" s="193" t="s">
        <v>84</v>
      </c>
      <c r="N94" s="563">
        <f>N93*3.5</f>
        <v>1.4000000000000001</v>
      </c>
      <c r="O94" s="564"/>
      <c r="P94" s="566"/>
      <c r="Q94" s="567"/>
      <c r="R94" s="568"/>
      <c r="S94" s="192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195"/>
      <c r="AH94" s="20"/>
      <c r="AI94" s="20"/>
    </row>
    <row r="95" spans="1:35" ht="15.75" thickTop="1" x14ac:dyDescent="0.25">
      <c r="A95" s="20"/>
      <c r="B95" s="26"/>
      <c r="C95" s="21"/>
      <c r="D95" s="72"/>
      <c r="E95" s="73"/>
      <c r="F95" s="74"/>
      <c r="G95" s="18"/>
      <c r="H95" s="18"/>
      <c r="I95" s="72"/>
      <c r="J95" s="73"/>
      <c r="K95" s="74"/>
      <c r="L95" s="18"/>
      <c r="M95" s="72"/>
      <c r="N95" s="73"/>
      <c r="O95" s="73"/>
      <c r="P95" s="74"/>
      <c r="Q95" s="74"/>
      <c r="R95" s="74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66"/>
      <c r="AH95" s="20"/>
      <c r="AI95" s="20"/>
    </row>
    <row r="96" spans="1:35" ht="15" x14ac:dyDescent="0.25">
      <c r="A96" s="20"/>
      <c r="B96" s="26"/>
      <c r="C96" s="21"/>
      <c r="D96" s="72"/>
      <c r="E96" s="73"/>
      <c r="F96" s="74"/>
      <c r="G96" s="18"/>
      <c r="H96" s="18"/>
      <c r="I96" s="72"/>
      <c r="J96" s="73"/>
      <c r="K96" s="74"/>
      <c r="L96" s="18"/>
      <c r="M96" s="72"/>
      <c r="N96" s="73"/>
      <c r="O96" s="73"/>
      <c r="P96" s="74"/>
      <c r="Q96" s="74"/>
      <c r="R96" s="74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66"/>
      <c r="AH96" s="20"/>
      <c r="AI96" s="20"/>
    </row>
    <row r="97" spans="1:35" ht="15" x14ac:dyDescent="0.25">
      <c r="A97" s="20"/>
      <c r="B97" s="26"/>
      <c r="C97" s="21"/>
      <c r="D97" s="72"/>
      <c r="E97" s="73"/>
      <c r="F97" s="74"/>
      <c r="G97" s="18"/>
      <c r="H97" s="18"/>
      <c r="I97" s="72"/>
      <c r="J97" s="73"/>
      <c r="K97" s="74"/>
      <c r="L97" s="18"/>
      <c r="M97" s="72"/>
      <c r="N97" s="73"/>
      <c r="O97" s="73"/>
      <c r="P97" s="74"/>
      <c r="Q97" s="74"/>
      <c r="R97" s="74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66"/>
      <c r="AH97" s="20"/>
      <c r="AI97" s="20"/>
    </row>
    <row r="98" spans="1:35" ht="15" x14ac:dyDescent="0.25">
      <c r="A98" s="20"/>
      <c r="B98" s="26"/>
      <c r="C98" s="21"/>
      <c r="D98" s="72"/>
      <c r="E98" s="73"/>
      <c r="F98" s="74"/>
      <c r="G98" s="18"/>
      <c r="H98" s="18"/>
      <c r="I98" s="72"/>
      <c r="J98" s="73"/>
      <c r="K98" s="74"/>
      <c r="L98" s="18"/>
      <c r="M98" s="72"/>
      <c r="N98" s="73"/>
      <c r="O98" s="73"/>
      <c r="P98" s="74"/>
      <c r="Q98" s="74"/>
      <c r="R98" s="74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66"/>
      <c r="AH98" s="20"/>
      <c r="AI98" s="20"/>
    </row>
    <row r="99" spans="1:35" ht="15" x14ac:dyDescent="0.25">
      <c r="A99" s="20"/>
      <c r="B99" s="26"/>
      <c r="C99" s="21"/>
      <c r="D99" s="72"/>
      <c r="E99" s="73"/>
      <c r="F99" s="74"/>
      <c r="G99" s="18"/>
      <c r="H99" s="18"/>
      <c r="I99" s="72"/>
      <c r="J99" s="73"/>
      <c r="K99" s="74"/>
      <c r="L99" s="18"/>
      <c r="M99" s="72"/>
      <c r="N99" s="73"/>
      <c r="O99" s="73"/>
      <c r="P99" s="74"/>
      <c r="Q99" s="74"/>
      <c r="R99" s="74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66"/>
      <c r="AH99" s="20"/>
      <c r="AI99" s="20"/>
    </row>
    <row r="100" spans="1:35" ht="15" x14ac:dyDescent="0.25">
      <c r="A100" s="20"/>
      <c r="B100" s="26"/>
      <c r="C100" s="21"/>
      <c r="D100" s="72"/>
      <c r="E100" s="73"/>
      <c r="F100" s="74"/>
      <c r="G100" s="18"/>
      <c r="H100" s="18"/>
      <c r="I100" s="72"/>
      <c r="J100" s="73"/>
      <c r="K100" s="74"/>
      <c r="L100" s="18"/>
      <c r="M100" s="72"/>
      <c r="N100" s="73"/>
      <c r="O100" s="73"/>
      <c r="P100" s="74"/>
      <c r="Q100" s="74"/>
      <c r="R100" s="74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66"/>
      <c r="AH100" s="20"/>
      <c r="AI100" s="20"/>
    </row>
    <row r="101" spans="1:35" ht="15" x14ac:dyDescent="0.25">
      <c r="A101" s="20"/>
      <c r="B101" s="26"/>
      <c r="C101" s="21"/>
      <c r="D101" s="72"/>
      <c r="E101" s="73"/>
      <c r="F101" s="74"/>
      <c r="G101" s="18"/>
      <c r="H101" s="18"/>
      <c r="I101" s="72"/>
      <c r="J101" s="73"/>
      <c r="K101" s="74"/>
      <c r="L101" s="18"/>
      <c r="M101" s="72"/>
      <c r="N101" s="73"/>
      <c r="O101" s="73"/>
      <c r="P101" s="74"/>
      <c r="Q101" s="74"/>
      <c r="R101" s="74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66"/>
      <c r="AH101" s="20"/>
      <c r="AI101" s="20"/>
    </row>
    <row r="102" spans="1:35" ht="15" x14ac:dyDescent="0.25">
      <c r="A102" s="20"/>
      <c r="B102" s="26"/>
      <c r="C102" s="21"/>
      <c r="D102" s="72"/>
      <c r="E102" s="73"/>
      <c r="F102" s="74"/>
      <c r="G102" s="18"/>
      <c r="H102" s="18"/>
      <c r="I102" s="72"/>
      <c r="J102" s="73"/>
      <c r="K102" s="74"/>
      <c r="L102" s="18"/>
      <c r="M102" s="72"/>
      <c r="N102" s="73"/>
      <c r="O102" s="73"/>
      <c r="P102" s="74"/>
      <c r="Q102" s="74"/>
      <c r="R102" s="74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66"/>
      <c r="AH102" s="20"/>
      <c r="AI102" s="20"/>
    </row>
    <row r="103" spans="1:35" ht="15" x14ac:dyDescent="0.25">
      <c r="A103" s="20"/>
      <c r="B103" s="26"/>
      <c r="C103" s="21"/>
      <c r="D103" s="72"/>
      <c r="E103" s="73"/>
      <c r="F103" s="74"/>
      <c r="G103" s="18"/>
      <c r="H103" s="18"/>
      <c r="I103" s="72"/>
      <c r="J103" s="73"/>
      <c r="K103" s="74"/>
      <c r="L103" s="18"/>
      <c r="M103" s="72"/>
      <c r="N103" s="73"/>
      <c r="O103" s="73"/>
      <c r="P103" s="74"/>
      <c r="Q103" s="74"/>
      <c r="R103" s="74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66"/>
      <c r="AH103" s="20"/>
      <c r="AI103" s="20"/>
    </row>
    <row r="104" spans="1:35" ht="15" x14ac:dyDescent="0.25">
      <c r="A104" s="20"/>
      <c r="B104" s="26"/>
      <c r="C104" s="21"/>
      <c r="D104" s="72"/>
      <c r="E104" s="73"/>
      <c r="F104" s="74"/>
      <c r="G104" s="18"/>
      <c r="H104" s="18"/>
      <c r="I104" s="72"/>
      <c r="J104" s="73"/>
      <c r="K104" s="74"/>
      <c r="L104" s="18"/>
      <c r="M104" s="72"/>
      <c r="N104" s="73"/>
      <c r="O104" s="73"/>
      <c r="P104" s="74"/>
      <c r="Q104" s="74"/>
      <c r="R104" s="74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66"/>
      <c r="AH104" s="20"/>
      <c r="AI104" s="20"/>
    </row>
    <row r="105" spans="1:35" ht="15" x14ac:dyDescent="0.25">
      <c r="A105" s="20"/>
      <c r="B105" s="26"/>
      <c r="C105" s="21"/>
      <c r="D105" s="72"/>
      <c r="E105" s="73"/>
      <c r="F105" s="74"/>
      <c r="G105" s="18"/>
      <c r="H105" s="18"/>
      <c r="I105" s="72"/>
      <c r="J105" s="73"/>
      <c r="K105" s="74"/>
      <c r="L105" s="18"/>
      <c r="M105" s="72"/>
      <c r="N105" s="73"/>
      <c r="O105" s="73"/>
      <c r="P105" s="74"/>
      <c r="Q105" s="74"/>
      <c r="R105" s="74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66"/>
      <c r="AH105" s="20"/>
      <c r="AI105" s="20"/>
    </row>
    <row r="106" spans="1:35" ht="15" x14ac:dyDescent="0.25">
      <c r="A106" s="20"/>
      <c r="B106" s="26"/>
      <c r="C106" s="21"/>
      <c r="D106" s="72"/>
      <c r="E106" s="73"/>
      <c r="F106" s="74"/>
      <c r="G106" s="18"/>
      <c r="H106" s="18"/>
      <c r="I106" s="72"/>
      <c r="J106" s="73"/>
      <c r="K106" s="74"/>
      <c r="L106" s="18"/>
      <c r="M106" s="72"/>
      <c r="N106" s="73"/>
      <c r="O106" s="73"/>
      <c r="P106" s="74"/>
      <c r="Q106" s="74"/>
      <c r="R106" s="74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66"/>
      <c r="AH106" s="20"/>
      <c r="AI106" s="20"/>
    </row>
    <row r="107" spans="1:35" ht="15" x14ac:dyDescent="0.25">
      <c r="A107" s="20"/>
      <c r="B107" s="26"/>
      <c r="C107" s="21"/>
      <c r="D107" s="72"/>
      <c r="E107" s="73"/>
      <c r="F107" s="74"/>
      <c r="G107" s="18"/>
      <c r="H107" s="18"/>
      <c r="I107" s="72"/>
      <c r="J107" s="73"/>
      <c r="K107" s="74"/>
      <c r="L107" s="18"/>
      <c r="M107" s="72"/>
      <c r="N107" s="73"/>
      <c r="O107" s="73"/>
      <c r="P107" s="74"/>
      <c r="Q107" s="74"/>
      <c r="R107" s="74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66"/>
      <c r="AH107" s="20"/>
      <c r="AI107" s="20"/>
    </row>
    <row r="108" spans="1:35" x14ac:dyDescent="0.2">
      <c r="A108" s="20"/>
      <c r="B108" s="26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71"/>
      <c r="N108" s="71"/>
      <c r="O108" s="7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66"/>
      <c r="AH108" s="20"/>
      <c r="AI108" s="20"/>
    </row>
    <row r="109" spans="1:35" x14ac:dyDescent="0.2">
      <c r="A109" s="20"/>
      <c r="B109" s="26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71"/>
      <c r="N109" s="71"/>
      <c r="O109" s="7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66"/>
      <c r="AH109" s="20"/>
      <c r="AI109" s="20"/>
    </row>
    <row r="110" spans="1:35" x14ac:dyDescent="0.2">
      <c r="A110" s="20"/>
      <c r="B110" s="26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71"/>
      <c r="N110" s="71"/>
      <c r="O110" s="7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66"/>
      <c r="AH110" s="20"/>
      <c r="AI110" s="20"/>
    </row>
    <row r="111" spans="1:35" x14ac:dyDescent="0.2">
      <c r="A111" s="20"/>
      <c r="B111" s="26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66"/>
      <c r="AH111" s="20"/>
      <c r="AI111" s="20"/>
    </row>
    <row r="112" spans="1:35" x14ac:dyDescent="0.2">
      <c r="A112" s="20"/>
      <c r="B112" s="26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66"/>
      <c r="AH112" s="20"/>
      <c r="AI112" s="20"/>
    </row>
    <row r="113" spans="1:36" x14ac:dyDescent="0.2">
      <c r="A113" s="20"/>
      <c r="B113" s="26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66"/>
      <c r="AH113" s="20"/>
      <c r="AI113" s="20"/>
    </row>
    <row r="114" spans="1:36" x14ac:dyDescent="0.2">
      <c r="A114" s="20"/>
      <c r="B114" s="26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66"/>
      <c r="AH114" s="20"/>
      <c r="AI114" s="20"/>
    </row>
    <row r="115" spans="1:36" x14ac:dyDescent="0.2">
      <c r="B115" s="25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3"/>
    </row>
    <row r="116" spans="1:36" x14ac:dyDescent="0.2">
      <c r="B116" s="25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3"/>
    </row>
    <row r="117" spans="1:36" x14ac:dyDescent="0.2">
      <c r="B117" s="25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3"/>
    </row>
    <row r="118" spans="1:36" x14ac:dyDescent="0.2">
      <c r="B118" s="25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3"/>
    </row>
    <row r="119" spans="1:36" x14ac:dyDescent="0.2">
      <c r="B119" s="25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3"/>
    </row>
    <row r="120" spans="1:36" x14ac:dyDescent="0.2">
      <c r="B120" s="25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3"/>
    </row>
    <row r="121" spans="1:36" x14ac:dyDescent="0.2">
      <c r="B121" s="25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3"/>
    </row>
    <row r="122" spans="1:36" x14ac:dyDescent="0.2">
      <c r="A122" s="188"/>
      <c r="B122" s="25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3"/>
    </row>
    <row r="123" spans="1:36" x14ac:dyDescent="0.2">
      <c r="A123" s="188"/>
      <c r="B123" s="25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3"/>
      <c r="AH123" s="187"/>
      <c r="AI123" s="18"/>
      <c r="AJ123" s="18"/>
    </row>
    <row r="124" spans="1:36" x14ac:dyDescent="0.2">
      <c r="A124" s="188"/>
      <c r="B124" s="25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3"/>
      <c r="AH124" s="187"/>
      <c r="AI124" s="18"/>
      <c r="AJ124" s="18"/>
    </row>
    <row r="125" spans="1:36" x14ac:dyDescent="0.2">
      <c r="A125" s="188"/>
      <c r="B125" s="25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3"/>
      <c r="AH125" s="187"/>
      <c r="AI125" s="18"/>
      <c r="AJ125" s="18"/>
    </row>
    <row r="126" spans="1:36" x14ac:dyDescent="0.2">
      <c r="A126" s="188"/>
      <c r="B126" s="25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3"/>
      <c r="AH126" s="187"/>
      <c r="AI126" s="18"/>
      <c r="AJ126" s="18"/>
    </row>
    <row r="127" spans="1:36" ht="13.5" thickBot="1" x14ac:dyDescent="0.25">
      <c r="A127" s="188"/>
      <c r="B127" s="186"/>
      <c r="C127" s="184"/>
      <c r="D127" s="184"/>
      <c r="E127" s="184"/>
      <c r="F127" s="184"/>
      <c r="G127" s="184"/>
      <c r="H127" s="184"/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5"/>
      <c r="AH127" s="187"/>
      <c r="AI127" s="18"/>
      <c r="AJ127" s="18"/>
    </row>
    <row r="128" spans="1:36" ht="13.5" thickTop="1" x14ac:dyDescent="0.2"/>
  </sheetData>
  <mergeCells count="299">
    <mergeCell ref="K70:L70"/>
    <mergeCell ref="O71:Q71"/>
    <mergeCell ref="O72:Q72"/>
    <mergeCell ref="V71:W71"/>
    <mergeCell ref="N60:U60"/>
    <mergeCell ref="N61:U62"/>
    <mergeCell ref="D80:G80"/>
    <mergeCell ref="K56:M56"/>
    <mergeCell ref="N56:Q56"/>
    <mergeCell ref="R56:U56"/>
    <mergeCell ref="V56:W56"/>
    <mergeCell ref="E78:G78"/>
    <mergeCell ref="H78:J78"/>
    <mergeCell ref="I59:J59"/>
    <mergeCell ref="I60:J61"/>
    <mergeCell ref="I63:J63"/>
    <mergeCell ref="I64:J65"/>
    <mergeCell ref="G62:H63"/>
    <mergeCell ref="C67:F68"/>
    <mergeCell ref="E77:G77"/>
    <mergeCell ref="H77:J77"/>
    <mergeCell ref="K77:Z77"/>
    <mergeCell ref="D87:AE87"/>
    <mergeCell ref="N38:U38"/>
    <mergeCell ref="N39:U39"/>
    <mergeCell ref="N55:U55"/>
    <mergeCell ref="N49:Q50"/>
    <mergeCell ref="R49:U50"/>
    <mergeCell ref="N51:Q52"/>
    <mergeCell ref="R51:U52"/>
    <mergeCell ref="E64:H65"/>
    <mergeCell ref="AA64:AD65"/>
    <mergeCell ref="C58:F59"/>
    <mergeCell ref="Y67:AB68"/>
    <mergeCell ref="AC58:AF59"/>
    <mergeCell ref="G67:J68"/>
    <mergeCell ref="AA62:AB63"/>
    <mergeCell ref="K49:M50"/>
    <mergeCell ref="K51:M52"/>
    <mergeCell ref="D84:AE84"/>
    <mergeCell ref="K55:M55"/>
    <mergeCell ref="K43:M43"/>
    <mergeCell ref="N43:U43"/>
    <mergeCell ref="K44:M44"/>
    <mergeCell ref="V44:X44"/>
    <mergeCell ref="K45:M45"/>
    <mergeCell ref="AC14:AD15"/>
    <mergeCell ref="K33:M34"/>
    <mergeCell ref="K35:M36"/>
    <mergeCell ref="V33:X34"/>
    <mergeCell ref="V35:X36"/>
    <mergeCell ref="K30:M30"/>
    <mergeCell ref="V30:X30"/>
    <mergeCell ref="N22:T22"/>
    <mergeCell ref="K21:M21"/>
    <mergeCell ref="N21:T21"/>
    <mergeCell ref="V18:X18"/>
    <mergeCell ref="K19:M19"/>
    <mergeCell ref="N29:U29"/>
    <mergeCell ref="N35:Q36"/>
    <mergeCell ref="R35:U36"/>
    <mergeCell ref="N30:Q31"/>
    <mergeCell ref="R30:U31"/>
    <mergeCell ref="K32:M32"/>
    <mergeCell ref="R28:U28"/>
    <mergeCell ref="N27:U27"/>
    <mergeCell ref="C12:F13"/>
    <mergeCell ref="AC12:AF13"/>
    <mergeCell ref="G18:H19"/>
    <mergeCell ref="C23:F24"/>
    <mergeCell ref="G23:J24"/>
    <mergeCell ref="Y23:AB24"/>
    <mergeCell ref="AC23:AF24"/>
    <mergeCell ref="E20:H21"/>
    <mergeCell ref="I19:J19"/>
    <mergeCell ref="I20:J21"/>
    <mergeCell ref="AA18:AB19"/>
    <mergeCell ref="Y19:Z19"/>
    <mergeCell ref="AA20:AD21"/>
    <mergeCell ref="Y20:Z21"/>
    <mergeCell ref="K20:M20"/>
    <mergeCell ref="K18:M18"/>
    <mergeCell ref="N18:Q18"/>
    <mergeCell ref="N17:Q17"/>
    <mergeCell ref="R17:U17"/>
    <mergeCell ref="AE14:AF15"/>
    <mergeCell ref="AC16:AD17"/>
    <mergeCell ref="I14:J15"/>
    <mergeCell ref="C16:D17"/>
    <mergeCell ref="K16:M16"/>
    <mergeCell ref="F90:F91"/>
    <mergeCell ref="F93:F94"/>
    <mergeCell ref="K90:K91"/>
    <mergeCell ref="K93:K94"/>
    <mergeCell ref="X90:Y91"/>
    <mergeCell ref="U89:Y89"/>
    <mergeCell ref="AA89:AE89"/>
    <mergeCell ref="L92:R92"/>
    <mergeCell ref="D89:F89"/>
    <mergeCell ref="I89:K89"/>
    <mergeCell ref="M89:R89"/>
    <mergeCell ref="N94:O94"/>
    <mergeCell ref="P93:R94"/>
    <mergeCell ref="N93:O93"/>
    <mergeCell ref="V90:W90"/>
    <mergeCell ref="V91:W91"/>
    <mergeCell ref="P90:R91"/>
    <mergeCell ref="N90:O90"/>
    <mergeCell ref="N91:O91"/>
    <mergeCell ref="D81:AE81"/>
    <mergeCell ref="D82:AE82"/>
    <mergeCell ref="D83:AE83"/>
    <mergeCell ref="D85:AE85"/>
    <mergeCell ref="D86:AE86"/>
    <mergeCell ref="AC3:AD3"/>
    <mergeCell ref="G4:H4"/>
    <mergeCell ref="I4:J4"/>
    <mergeCell ref="K4:M4"/>
    <mergeCell ref="N4:Q4"/>
    <mergeCell ref="V29:X29"/>
    <mergeCell ref="G14:H15"/>
    <mergeCell ref="I13:J13"/>
    <mergeCell ref="Y13:Z13"/>
    <mergeCell ref="Y14:Z15"/>
    <mergeCell ref="AA16:AB17"/>
    <mergeCell ref="Y17:Z17"/>
    <mergeCell ref="G13:H13"/>
    <mergeCell ref="AA13:AB13"/>
    <mergeCell ref="V17:X17"/>
    <mergeCell ref="AA14:AB15"/>
    <mergeCell ref="N20:U20"/>
    <mergeCell ref="K27:M27"/>
    <mergeCell ref="N3:Q3"/>
    <mergeCell ref="R3:U3"/>
    <mergeCell ref="V3:X3"/>
    <mergeCell ref="Y3:Z3"/>
    <mergeCell ref="AA3:AB3"/>
    <mergeCell ref="G2:H2"/>
    <mergeCell ref="I2:J2"/>
    <mergeCell ref="K2:M2"/>
    <mergeCell ref="N2:Q2"/>
    <mergeCell ref="R2:U2"/>
    <mergeCell ref="V2:X2"/>
    <mergeCell ref="Y2:Z2"/>
    <mergeCell ref="AA2:AB2"/>
    <mergeCell ref="R4:U4"/>
    <mergeCell ref="V4:X4"/>
    <mergeCell ref="Y4:Z4"/>
    <mergeCell ref="AA4:AB4"/>
    <mergeCell ref="AB9:AD9"/>
    <mergeCell ref="E8:G8"/>
    <mergeCell ref="AB8:AC8"/>
    <mergeCell ref="R8:U8"/>
    <mergeCell ref="N8:Q8"/>
    <mergeCell ref="AC4:AD4"/>
    <mergeCell ref="E6:G6"/>
    <mergeCell ref="E7:G7"/>
    <mergeCell ref="AB7:AD7"/>
    <mergeCell ref="R7:U7"/>
    <mergeCell ref="H9:J9"/>
    <mergeCell ref="H8:J8"/>
    <mergeCell ref="H7:J7"/>
    <mergeCell ref="H6:J6"/>
    <mergeCell ref="V7:X7"/>
    <mergeCell ref="B2:E4"/>
    <mergeCell ref="AC2:AD2"/>
    <mergeCell ref="G3:H3"/>
    <mergeCell ref="I3:J3"/>
    <mergeCell ref="K3:M3"/>
    <mergeCell ref="BA39:BB39"/>
    <mergeCell ref="AT32:AW32"/>
    <mergeCell ref="BA40:BB40"/>
    <mergeCell ref="Y25:Z25"/>
    <mergeCell ref="AA25:AB25"/>
    <mergeCell ref="AC25:AD25"/>
    <mergeCell ref="AE25:AF25"/>
    <mergeCell ref="BA41:BB41"/>
    <mergeCell ref="AE16:AF17"/>
    <mergeCell ref="AT27:AW27"/>
    <mergeCell ref="AT47:AU47"/>
    <mergeCell ref="AV47:AW47"/>
    <mergeCell ref="AT54:AU54"/>
    <mergeCell ref="AV54:AW54"/>
    <mergeCell ref="AT48:AU48"/>
    <mergeCell ref="AV48:AW48"/>
    <mergeCell ref="AT53:AU53"/>
    <mergeCell ref="AV53:AW53"/>
    <mergeCell ref="K63:M63"/>
    <mergeCell ref="K48:M48"/>
    <mergeCell ref="V48:X48"/>
    <mergeCell ref="K53:M53"/>
    <mergeCell ref="N54:U54"/>
    <mergeCell ref="V49:X50"/>
    <mergeCell ref="N53:U53"/>
    <mergeCell ref="V54:X54"/>
    <mergeCell ref="V51:X52"/>
    <mergeCell ref="N48:U48"/>
    <mergeCell ref="V55:X55"/>
    <mergeCell ref="R46:U47"/>
    <mergeCell ref="K54:M54"/>
    <mergeCell ref="AC67:AF68"/>
    <mergeCell ref="K28:M28"/>
    <mergeCell ref="N28:Q28"/>
    <mergeCell ref="AC66:AF66"/>
    <mergeCell ref="AE62:AF63"/>
    <mergeCell ref="AE60:AF61"/>
    <mergeCell ref="AE64:AF65"/>
    <mergeCell ref="E16:F17"/>
    <mergeCell ref="E18:F19"/>
    <mergeCell ref="Y64:Z65"/>
    <mergeCell ref="K37:M37"/>
    <mergeCell ref="N37:U37"/>
    <mergeCell ref="K38:M38"/>
    <mergeCell ref="V31:X31"/>
    <mergeCell ref="V32:X32"/>
    <mergeCell ref="N67:U67"/>
    <mergeCell ref="N64:U65"/>
    <mergeCell ref="K39:M39"/>
    <mergeCell ref="K42:X42"/>
    <mergeCell ref="K31:M31"/>
    <mergeCell ref="V16:X16"/>
    <mergeCell ref="C18:D19"/>
    <mergeCell ref="C60:D61"/>
    <mergeCell ref="E60:F61"/>
    <mergeCell ref="C66:F66"/>
    <mergeCell ref="K64:M64"/>
    <mergeCell ref="V64:X64"/>
    <mergeCell ref="K65:M65"/>
    <mergeCell ref="V65:X65"/>
    <mergeCell ref="G16:H17"/>
    <mergeCell ref="I17:J17"/>
    <mergeCell ref="V28:X28"/>
    <mergeCell ref="K29:M29"/>
    <mergeCell ref="N32:U32"/>
    <mergeCell ref="K47:M47"/>
    <mergeCell ref="V47:X47"/>
    <mergeCell ref="K46:M46"/>
    <mergeCell ref="N44:Q44"/>
    <mergeCell ref="R44:U44"/>
    <mergeCell ref="V45:X45"/>
    <mergeCell ref="C64:D65"/>
    <mergeCell ref="AB77:AD77"/>
    <mergeCell ref="E76:G76"/>
    <mergeCell ref="H76:J76"/>
    <mergeCell ref="K76:M76"/>
    <mergeCell ref="R76:U76"/>
    <mergeCell ref="E75:G75"/>
    <mergeCell ref="H75:J75"/>
    <mergeCell ref="Y76:Z76"/>
    <mergeCell ref="V76:X76"/>
    <mergeCell ref="N76:Q76"/>
    <mergeCell ref="E10:G10"/>
    <mergeCell ref="H10:J10"/>
    <mergeCell ref="E9:G9"/>
    <mergeCell ref="N16:Q16"/>
    <mergeCell ref="R16:U16"/>
    <mergeCell ref="N66:U66"/>
    <mergeCell ref="N15:U15"/>
    <mergeCell ref="K15:M15"/>
    <mergeCell ref="C22:F22"/>
    <mergeCell ref="K22:M22"/>
    <mergeCell ref="K17:M17"/>
    <mergeCell ref="N63:U63"/>
    <mergeCell ref="C62:D63"/>
    <mergeCell ref="K62:M62"/>
    <mergeCell ref="E62:F63"/>
    <mergeCell ref="C20:D21"/>
    <mergeCell ref="K26:X26"/>
    <mergeCell ref="N33:Q34"/>
    <mergeCell ref="R33:U34"/>
    <mergeCell ref="E14:F15"/>
    <mergeCell ref="C14:D15"/>
    <mergeCell ref="V46:X46"/>
    <mergeCell ref="N45:U45"/>
    <mergeCell ref="N46:Q47"/>
    <mergeCell ref="B1:AG1"/>
    <mergeCell ref="AB76:AD76"/>
    <mergeCell ref="Y7:Z7"/>
    <mergeCell ref="Y8:Z8"/>
    <mergeCell ref="K9:Z9"/>
    <mergeCell ref="K7:M7"/>
    <mergeCell ref="K8:M8"/>
    <mergeCell ref="V8:X8"/>
    <mergeCell ref="G60:H61"/>
    <mergeCell ref="AA60:AB61"/>
    <mergeCell ref="Y59:Z59"/>
    <mergeCell ref="AE20:AF21"/>
    <mergeCell ref="AC22:AF22"/>
    <mergeCell ref="AC18:AD19"/>
    <mergeCell ref="AE18:AF19"/>
    <mergeCell ref="AC62:AD63"/>
    <mergeCell ref="AC60:AD61"/>
    <mergeCell ref="Y60:Z61"/>
    <mergeCell ref="Y63:Z63"/>
    <mergeCell ref="AA59:AB59"/>
    <mergeCell ref="G59:H59"/>
    <mergeCell ref="R18:U18"/>
    <mergeCell ref="N19:Q19"/>
    <mergeCell ref="V19:X19"/>
  </mergeCells>
  <printOptions horizontalCentered="1"/>
  <pageMargins left="0" right="0" top="0" bottom="0" header="0" footer="0"/>
  <pageSetup paperSize="8" scale="8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19C58-A68E-4EAB-B294-5F48985671D1}">
  <sheetPr codeName="Sheet1">
    <tabColor rgb="FF7030A0"/>
  </sheetPr>
  <dimension ref="A1:AAV145"/>
  <sheetViews>
    <sheetView zoomScaleNormal="100" workbookViewId="0">
      <selection activeCell="G8" sqref="G8"/>
    </sheetView>
  </sheetViews>
  <sheetFormatPr defaultColWidth="13.7109375" defaultRowHeight="12.75" x14ac:dyDescent="0.2"/>
  <cols>
    <col min="1" max="1" width="4.85546875" customWidth="1"/>
    <col min="2" max="2" width="34.5703125" style="105" customWidth="1"/>
    <col min="3" max="3" width="2" style="105" customWidth="1"/>
    <col min="4" max="4" width="16.28515625" style="104" customWidth="1"/>
    <col min="5" max="5" width="9.5703125" style="105" hidden="1" customWidth="1"/>
  </cols>
  <sheetData>
    <row r="1" spans="1:12" s="200" customFormat="1" x14ac:dyDescent="0.2">
      <c r="A1" s="635" t="s">
        <v>378</v>
      </c>
      <c r="B1" s="635"/>
      <c r="C1" s="635"/>
      <c r="D1" s="635"/>
      <c r="E1" s="201"/>
    </row>
    <row r="2" spans="1:12" s="200" customFormat="1" x14ac:dyDescent="0.2">
      <c r="A2" s="635"/>
      <c r="B2" s="635"/>
      <c r="C2" s="635"/>
      <c r="D2" s="635"/>
      <c r="E2" s="201"/>
    </row>
    <row r="3" spans="1:12" s="200" customFormat="1" x14ac:dyDescent="0.2">
      <c r="B3" s="202" t="s">
        <v>380</v>
      </c>
      <c r="C3" s="201"/>
      <c r="D3" s="202"/>
      <c r="E3" s="201"/>
    </row>
    <row r="4" spans="1:12" s="200" customFormat="1" x14ac:dyDescent="0.2">
      <c r="B4" s="640" t="s">
        <v>376</v>
      </c>
      <c r="C4" s="201"/>
      <c r="D4" s="202"/>
      <c r="E4" s="201"/>
    </row>
    <row r="5" spans="1:12" s="200" customFormat="1" ht="13.5" thickBot="1" x14ac:dyDescent="0.25">
      <c r="B5" s="641"/>
      <c r="C5" s="201"/>
      <c r="D5" s="202"/>
      <c r="E5" s="201"/>
    </row>
    <row r="6" spans="1:12" s="200" customFormat="1" x14ac:dyDescent="0.2">
      <c r="B6" s="640" t="s">
        <v>379</v>
      </c>
      <c r="C6" s="201"/>
      <c r="D6" s="636" t="s">
        <v>374</v>
      </c>
      <c r="E6" s="201"/>
    </row>
    <row r="7" spans="1:12" s="200" customFormat="1" ht="13.5" thickBot="1" x14ac:dyDescent="0.25">
      <c r="B7" s="641"/>
      <c r="C7" s="201"/>
      <c r="D7" s="637"/>
      <c r="E7" s="201"/>
    </row>
    <row r="8" spans="1:12" s="200" customFormat="1" x14ac:dyDescent="0.2">
      <c r="B8" s="640" t="s">
        <v>375</v>
      </c>
      <c r="C8" s="201"/>
      <c r="D8" s="638"/>
      <c r="E8" s="201"/>
      <c r="G8" s="202" t="s">
        <v>377</v>
      </c>
      <c r="H8" s="202" t="s">
        <v>377</v>
      </c>
      <c r="I8" s="202" t="s">
        <v>377</v>
      </c>
      <c r="J8" s="202" t="s">
        <v>377</v>
      </c>
      <c r="K8" s="202" t="s">
        <v>377</v>
      </c>
      <c r="L8" s="202" t="s">
        <v>377</v>
      </c>
    </row>
    <row r="9" spans="1:12" s="200" customFormat="1" ht="15.75" x14ac:dyDescent="0.25">
      <c r="B9" s="641"/>
      <c r="C9" s="201"/>
      <c r="D9" s="639"/>
      <c r="E9" s="201"/>
      <c r="G9" s="203">
        <f>1+H9</f>
        <v>6</v>
      </c>
      <c r="H9" s="203">
        <f>1+I9</f>
        <v>5</v>
      </c>
      <c r="I9" s="203">
        <f>1+J9</f>
        <v>4</v>
      </c>
      <c r="J9" s="203">
        <f>1+K9</f>
        <v>3</v>
      </c>
      <c r="K9" s="203">
        <f>1+L9</f>
        <v>2</v>
      </c>
      <c r="L9" s="203">
        <v>1</v>
      </c>
    </row>
    <row r="10" spans="1:12" x14ac:dyDescent="0.2">
      <c r="A10" s="632" t="s">
        <v>204</v>
      </c>
      <c r="B10" s="106" t="s">
        <v>0</v>
      </c>
      <c r="C10" s="124"/>
      <c r="D10" s="210">
        <f ca="1">TODAY()</f>
        <v>43670</v>
      </c>
      <c r="E10" s="197">
        <f ca="1">D10</f>
        <v>43670</v>
      </c>
      <c r="F10" s="204"/>
      <c r="G10" s="210">
        <v>43668</v>
      </c>
      <c r="H10" s="210">
        <v>43642</v>
      </c>
      <c r="I10" s="210">
        <v>43641</v>
      </c>
      <c r="J10" s="210">
        <v>43628</v>
      </c>
      <c r="K10" s="210">
        <v>43628</v>
      </c>
      <c r="L10" s="210">
        <v>43627</v>
      </c>
    </row>
    <row r="11" spans="1:12" s="134" customFormat="1" x14ac:dyDescent="0.2">
      <c r="A11" s="632"/>
      <c r="B11" s="132" t="s">
        <v>7</v>
      </c>
      <c r="C11" s="133"/>
      <c r="D11" s="211" t="s">
        <v>57</v>
      </c>
      <c r="E11" s="133" t="str">
        <f t="shared" ref="E11:E74" si="0">D11</f>
        <v>01</v>
      </c>
      <c r="F11" s="205"/>
      <c r="G11" s="211" t="s">
        <v>57</v>
      </c>
      <c r="H11" s="211" t="s">
        <v>57</v>
      </c>
      <c r="I11" s="211" t="s">
        <v>57</v>
      </c>
      <c r="J11" s="211" t="s">
        <v>57</v>
      </c>
      <c r="K11" s="211" t="s">
        <v>57</v>
      </c>
      <c r="L11" s="211" t="s">
        <v>57</v>
      </c>
    </row>
    <row r="12" spans="1:12" x14ac:dyDescent="0.2">
      <c r="A12" s="632"/>
      <c r="B12" s="106" t="s">
        <v>2</v>
      </c>
      <c r="C12" s="125"/>
      <c r="D12" s="212" t="s">
        <v>503</v>
      </c>
      <c r="E12" s="125" t="str">
        <f t="shared" si="0"/>
        <v>DB24</v>
      </c>
      <c r="F12" s="204"/>
      <c r="G12" s="212" t="s">
        <v>503</v>
      </c>
      <c r="H12" s="212" t="s">
        <v>503</v>
      </c>
      <c r="I12" s="212" t="s">
        <v>503</v>
      </c>
      <c r="J12" s="212" t="s">
        <v>503</v>
      </c>
      <c r="K12" s="212" t="s">
        <v>503</v>
      </c>
      <c r="L12" s="212" t="s">
        <v>503</v>
      </c>
    </row>
    <row r="13" spans="1:12" s="134" customFormat="1" x14ac:dyDescent="0.2">
      <c r="A13" s="632"/>
      <c r="B13" s="132" t="s">
        <v>4</v>
      </c>
      <c r="C13" s="133"/>
      <c r="D13" s="211" t="s">
        <v>459</v>
      </c>
      <c r="E13" s="133" t="str">
        <f t="shared" si="0"/>
        <v>START SETUP</v>
      </c>
      <c r="F13" s="205"/>
      <c r="G13" s="211" t="s">
        <v>459</v>
      </c>
      <c r="H13" s="211" t="s">
        <v>459</v>
      </c>
      <c r="I13" s="211" t="s">
        <v>459</v>
      </c>
      <c r="J13" s="211" t="s">
        <v>459</v>
      </c>
      <c r="K13" s="211" t="s">
        <v>459</v>
      </c>
      <c r="L13" s="211" t="s">
        <v>459</v>
      </c>
    </row>
    <row r="14" spans="1:12" x14ac:dyDescent="0.2">
      <c r="A14" s="632"/>
      <c r="B14" s="106" t="s">
        <v>1</v>
      </c>
      <c r="C14" s="125"/>
      <c r="D14" s="212" t="s">
        <v>511</v>
      </c>
      <c r="E14" s="125" t="str">
        <f t="shared" si="0"/>
        <v>Zalazone (VW)</v>
      </c>
      <c r="F14" s="204"/>
      <c r="G14" s="212" t="s">
        <v>511</v>
      </c>
      <c r="H14" s="212" t="s">
        <v>56</v>
      </c>
      <c r="I14" s="212" t="s">
        <v>510</v>
      </c>
      <c r="J14" s="212" t="s">
        <v>56</v>
      </c>
      <c r="K14" s="212" t="s">
        <v>56</v>
      </c>
      <c r="L14" s="212" t="s">
        <v>56</v>
      </c>
    </row>
    <row r="15" spans="1:12" s="134" customFormat="1" x14ac:dyDescent="0.2">
      <c r="A15" s="632"/>
      <c r="B15" s="132" t="s">
        <v>113</v>
      </c>
      <c r="C15" s="133"/>
      <c r="D15" s="211" t="s">
        <v>226</v>
      </c>
      <c r="E15" s="133" t="str">
        <f t="shared" si="0"/>
        <v>Alan Cocks</v>
      </c>
      <c r="F15" s="205"/>
      <c r="G15" s="211" t="s">
        <v>226</v>
      </c>
      <c r="H15" s="211" t="s">
        <v>226</v>
      </c>
      <c r="I15" s="211" t="s">
        <v>226</v>
      </c>
      <c r="J15" s="211" t="s">
        <v>226</v>
      </c>
      <c r="K15" s="211" t="s">
        <v>226</v>
      </c>
      <c r="L15" s="211" t="s">
        <v>226</v>
      </c>
    </row>
    <row r="16" spans="1:12" x14ac:dyDescent="0.2">
      <c r="A16" s="632"/>
      <c r="B16" s="106" t="s">
        <v>112</v>
      </c>
      <c r="C16" s="125"/>
      <c r="D16" s="212" t="s">
        <v>386</v>
      </c>
      <c r="E16" s="125" t="str">
        <f t="shared" si="0"/>
        <v>Danny King</v>
      </c>
      <c r="F16" s="204"/>
      <c r="G16" s="212" t="s">
        <v>386</v>
      </c>
      <c r="H16" s="212" t="s">
        <v>386</v>
      </c>
      <c r="I16" s="212" t="s">
        <v>386</v>
      </c>
      <c r="J16" s="212" t="s">
        <v>386</v>
      </c>
      <c r="K16" s="212" t="s">
        <v>386</v>
      </c>
      <c r="L16" s="212" t="s">
        <v>386</v>
      </c>
    </row>
    <row r="17" spans="1:12" s="134" customFormat="1" x14ac:dyDescent="0.2">
      <c r="A17" s="632"/>
      <c r="B17" s="132" t="s">
        <v>54</v>
      </c>
      <c r="C17" s="133"/>
      <c r="D17" s="211" t="s">
        <v>508</v>
      </c>
      <c r="E17" s="133" t="str">
        <f t="shared" si="0"/>
        <v>Mark Coombes</v>
      </c>
      <c r="F17" s="205"/>
      <c r="G17" s="211" t="s">
        <v>508</v>
      </c>
      <c r="H17" s="211" t="s">
        <v>508</v>
      </c>
      <c r="I17" s="211" t="s">
        <v>508</v>
      </c>
      <c r="J17" s="211" t="s">
        <v>508</v>
      </c>
      <c r="K17" s="211" t="s">
        <v>508</v>
      </c>
      <c r="L17" s="211" t="s">
        <v>506</v>
      </c>
    </row>
    <row r="18" spans="1:12" x14ac:dyDescent="0.2">
      <c r="A18" s="632"/>
      <c r="B18" s="106" t="s">
        <v>5</v>
      </c>
      <c r="C18" s="126"/>
      <c r="D18" s="212" t="s">
        <v>508</v>
      </c>
      <c r="E18" s="126" t="str">
        <f t="shared" si="0"/>
        <v>Mark Coombes</v>
      </c>
      <c r="F18" s="204"/>
      <c r="G18" s="212" t="s">
        <v>508</v>
      </c>
      <c r="H18" s="212" t="s">
        <v>229</v>
      </c>
      <c r="I18" s="212" t="s">
        <v>229</v>
      </c>
      <c r="J18" s="212" t="s">
        <v>229</v>
      </c>
      <c r="K18" s="212" t="s">
        <v>229</v>
      </c>
      <c r="L18" s="212" t="s">
        <v>229</v>
      </c>
    </row>
    <row r="19" spans="1:12" s="109" customFormat="1" ht="6" customHeight="1" x14ac:dyDescent="0.2">
      <c r="A19" s="107"/>
      <c r="B19" s="108"/>
      <c r="C19" s="108"/>
      <c r="D19" s="213"/>
      <c r="E19" s="108"/>
      <c r="F19" s="206"/>
      <c r="G19" s="213"/>
      <c r="H19" s="213"/>
      <c r="I19" s="213"/>
      <c r="J19" s="213"/>
      <c r="K19" s="213"/>
      <c r="L19" s="213"/>
    </row>
    <row r="20" spans="1:12" x14ac:dyDescent="0.2">
      <c r="A20" s="632" t="s">
        <v>47</v>
      </c>
      <c r="B20" s="106" t="s">
        <v>114</v>
      </c>
      <c r="C20" s="124"/>
      <c r="D20" s="214">
        <v>102</v>
      </c>
      <c r="E20" s="124">
        <f t="shared" si="0"/>
        <v>102</v>
      </c>
      <c r="F20" s="204"/>
      <c r="G20" s="214">
        <v>102</v>
      </c>
      <c r="H20" s="214">
        <v>102</v>
      </c>
      <c r="I20" s="214">
        <v>102</v>
      </c>
      <c r="J20" s="214">
        <v>102</v>
      </c>
      <c r="K20" s="214">
        <v>102</v>
      </c>
      <c r="L20" s="214">
        <v>102</v>
      </c>
    </row>
    <row r="21" spans="1:12" s="134" customFormat="1" x14ac:dyDescent="0.2">
      <c r="A21" s="632"/>
      <c r="B21" s="135" t="s">
        <v>115</v>
      </c>
      <c r="C21" s="136"/>
      <c r="D21" s="215">
        <v>184</v>
      </c>
      <c r="E21" s="136">
        <f t="shared" si="0"/>
        <v>184</v>
      </c>
      <c r="F21" s="205"/>
      <c r="G21" s="215">
        <v>184</v>
      </c>
      <c r="H21" s="215">
        <v>184</v>
      </c>
      <c r="I21" s="215">
        <v>184</v>
      </c>
      <c r="J21" s="215">
        <v>184</v>
      </c>
      <c r="K21" s="215">
        <v>184</v>
      </c>
      <c r="L21" s="215">
        <v>184</v>
      </c>
    </row>
    <row r="22" spans="1:12" x14ac:dyDescent="0.2">
      <c r="A22" s="632"/>
      <c r="B22" s="111" t="s">
        <v>116</v>
      </c>
      <c r="C22" s="128"/>
      <c r="D22" s="216">
        <v>183.5</v>
      </c>
      <c r="E22" s="128">
        <f t="shared" si="0"/>
        <v>183.5</v>
      </c>
      <c r="F22" s="204"/>
      <c r="G22" s="216">
        <v>183.5</v>
      </c>
      <c r="H22" s="216">
        <v>183.5</v>
      </c>
      <c r="I22" s="216">
        <v>183.5</v>
      </c>
      <c r="J22" s="216">
        <v>183.5</v>
      </c>
      <c r="K22" s="216">
        <v>183.5</v>
      </c>
      <c r="L22" s="216">
        <v>183.5</v>
      </c>
    </row>
    <row r="23" spans="1:12" s="134" customFormat="1" x14ac:dyDescent="0.2">
      <c r="A23" s="632"/>
      <c r="B23" s="137" t="s">
        <v>117</v>
      </c>
      <c r="C23" s="138"/>
      <c r="D23" s="215">
        <v>307</v>
      </c>
      <c r="E23" s="138">
        <f t="shared" si="0"/>
        <v>307</v>
      </c>
      <c r="F23" s="205"/>
      <c r="G23" s="215">
        <v>307</v>
      </c>
      <c r="H23" s="215">
        <v>307</v>
      </c>
      <c r="I23" s="215">
        <v>307</v>
      </c>
      <c r="J23" s="215">
        <v>307</v>
      </c>
      <c r="K23" s="215">
        <v>307</v>
      </c>
      <c r="L23" s="215">
        <v>307</v>
      </c>
    </row>
    <row r="24" spans="1:12" x14ac:dyDescent="0.2">
      <c r="A24" s="632"/>
      <c r="B24" s="112" t="s">
        <v>220</v>
      </c>
      <c r="C24" s="130"/>
      <c r="D24" s="216">
        <v>311</v>
      </c>
      <c r="E24" s="130">
        <f t="shared" si="0"/>
        <v>311</v>
      </c>
      <c r="F24" s="204"/>
      <c r="G24" s="216">
        <v>311</v>
      </c>
      <c r="H24" s="216">
        <v>311</v>
      </c>
      <c r="I24" s="216">
        <v>311</v>
      </c>
      <c r="J24" s="216">
        <v>311</v>
      </c>
      <c r="K24" s="216">
        <v>311</v>
      </c>
      <c r="L24" s="216">
        <v>311</v>
      </c>
    </row>
    <row r="25" spans="1:12" s="134" customFormat="1" x14ac:dyDescent="0.2">
      <c r="A25" s="632"/>
      <c r="B25" s="132" t="s">
        <v>51</v>
      </c>
      <c r="C25" s="133"/>
      <c r="D25" s="217">
        <f>SUM(D21:D24)</f>
        <v>985.5</v>
      </c>
      <c r="E25" s="133">
        <f t="shared" si="0"/>
        <v>985.5</v>
      </c>
      <c r="F25" s="205"/>
      <c r="G25" s="217">
        <v>985.5</v>
      </c>
      <c r="H25" s="217">
        <v>985.5</v>
      </c>
      <c r="I25" s="217">
        <v>985.5</v>
      </c>
      <c r="J25" s="217">
        <v>985.5</v>
      </c>
      <c r="K25" s="217">
        <v>985.5</v>
      </c>
      <c r="L25" s="217">
        <v>985.5</v>
      </c>
    </row>
    <row r="26" spans="1:12" x14ac:dyDescent="0.2">
      <c r="A26" s="632"/>
      <c r="B26" s="106" t="s">
        <v>120</v>
      </c>
      <c r="C26" s="125"/>
      <c r="D26" s="218">
        <f>(D21+D22)/D25</f>
        <v>0.37290715372907152</v>
      </c>
      <c r="E26" s="125">
        <f t="shared" si="0"/>
        <v>0.37290715372907152</v>
      </c>
      <c r="F26" s="204"/>
      <c r="G26" s="218">
        <v>0.37290715372907152</v>
      </c>
      <c r="H26" s="218">
        <v>0.37290715372907152</v>
      </c>
      <c r="I26" s="218">
        <v>0.37290715372907152</v>
      </c>
      <c r="J26" s="218">
        <v>0.37290715372907152</v>
      </c>
      <c r="K26" s="218">
        <v>0.37290715372907152</v>
      </c>
      <c r="L26" s="218">
        <v>0.37290715372907152</v>
      </c>
    </row>
    <row r="27" spans="1:12" s="134" customFormat="1" x14ac:dyDescent="0.2">
      <c r="A27" s="632"/>
      <c r="B27" s="132" t="s">
        <v>121</v>
      </c>
      <c r="C27" s="133"/>
      <c r="D27" s="219">
        <f>(D22+D23)/D25</f>
        <v>0.49771689497716892</v>
      </c>
      <c r="E27" s="133">
        <f t="shared" si="0"/>
        <v>0.49771689497716892</v>
      </c>
      <c r="F27" s="205"/>
      <c r="G27" s="219">
        <v>0.49771689497716892</v>
      </c>
      <c r="H27" s="219">
        <v>0.49771689497716892</v>
      </c>
      <c r="I27" s="219">
        <v>0.49771689497716892</v>
      </c>
      <c r="J27" s="219">
        <v>0.49771689497716892</v>
      </c>
      <c r="K27" s="219">
        <v>0.49771689497716892</v>
      </c>
      <c r="L27" s="219">
        <v>0.49771689497716892</v>
      </c>
    </row>
    <row r="28" spans="1:12" x14ac:dyDescent="0.2">
      <c r="A28" s="632"/>
      <c r="B28" s="106" t="s">
        <v>119</v>
      </c>
      <c r="C28" s="125"/>
      <c r="D28" s="220">
        <f>D25+Options!I4+SetupOverview!D20</f>
        <v>1250.5</v>
      </c>
      <c r="E28" s="125">
        <f t="shared" si="0"/>
        <v>1250.5</v>
      </c>
      <c r="F28" s="204"/>
      <c r="G28" s="220">
        <v>1250.5</v>
      </c>
      <c r="H28" s="220">
        <v>1250.5</v>
      </c>
      <c r="I28" s="220">
        <v>1250.5</v>
      </c>
      <c r="J28" s="220">
        <v>1250.5</v>
      </c>
      <c r="K28" s="220">
        <v>1250.5</v>
      </c>
      <c r="L28" s="220">
        <v>1250.5</v>
      </c>
    </row>
    <row r="29" spans="1:12" s="134" customFormat="1" x14ac:dyDescent="0.2">
      <c r="A29" s="632"/>
      <c r="B29" s="132" t="s">
        <v>118</v>
      </c>
      <c r="C29" s="139"/>
      <c r="D29" s="220">
        <f>D28-D20</f>
        <v>1148.5</v>
      </c>
      <c r="E29" s="139">
        <f t="shared" si="0"/>
        <v>1148.5</v>
      </c>
      <c r="F29" s="205"/>
      <c r="G29" s="220">
        <v>1148.5</v>
      </c>
      <c r="H29" s="220">
        <v>1148.5</v>
      </c>
      <c r="I29" s="220">
        <v>1148.5</v>
      </c>
      <c r="J29" s="220">
        <v>1148.5</v>
      </c>
      <c r="K29" s="220">
        <v>1148.5</v>
      </c>
      <c r="L29" s="220">
        <v>1148.5</v>
      </c>
    </row>
    <row r="30" spans="1:12" s="109" customFormat="1" ht="6" customHeight="1" x14ac:dyDescent="0.2">
      <c r="A30" s="107"/>
      <c r="B30" s="108"/>
      <c r="C30" s="108"/>
      <c r="D30" s="213"/>
      <c r="E30" s="108"/>
      <c r="F30" s="206"/>
      <c r="G30" s="213"/>
      <c r="H30" s="213"/>
      <c r="I30" s="213"/>
      <c r="J30" s="213"/>
      <c r="K30" s="213"/>
      <c r="L30" s="213"/>
    </row>
    <row r="31" spans="1:12" x14ac:dyDescent="0.2">
      <c r="A31" s="632" t="s">
        <v>205</v>
      </c>
      <c r="B31" s="110" t="s">
        <v>130</v>
      </c>
      <c r="C31" s="131"/>
      <c r="D31" s="221">
        <v>33</v>
      </c>
      <c r="E31" s="131">
        <f t="shared" si="0"/>
        <v>33</v>
      </c>
      <c r="F31" s="204"/>
      <c r="G31" s="221">
        <v>33</v>
      </c>
      <c r="H31" s="221">
        <v>33</v>
      </c>
      <c r="I31" s="221">
        <v>43</v>
      </c>
      <c r="J31" s="221">
        <v>33</v>
      </c>
      <c r="K31" s="221">
        <v>33</v>
      </c>
      <c r="L31" s="221">
        <v>33</v>
      </c>
    </row>
    <row r="32" spans="1:12" s="134" customFormat="1" x14ac:dyDescent="0.2">
      <c r="A32" s="632"/>
      <c r="B32" s="140" t="s">
        <v>131</v>
      </c>
      <c r="C32" s="141"/>
      <c r="D32" s="222">
        <v>33</v>
      </c>
      <c r="E32" s="141">
        <f t="shared" si="0"/>
        <v>33</v>
      </c>
      <c r="F32" s="205"/>
      <c r="G32" s="222">
        <v>33</v>
      </c>
      <c r="H32" s="222">
        <v>33</v>
      </c>
      <c r="I32" s="222">
        <v>43</v>
      </c>
      <c r="J32" s="222">
        <v>33</v>
      </c>
      <c r="K32" s="222">
        <v>33</v>
      </c>
      <c r="L32" s="222">
        <v>33</v>
      </c>
    </row>
    <row r="33" spans="1:12" x14ac:dyDescent="0.2">
      <c r="A33" s="632"/>
      <c r="B33" s="113" t="s">
        <v>132</v>
      </c>
      <c r="C33" s="129"/>
      <c r="D33" s="221">
        <v>50</v>
      </c>
      <c r="E33" s="129">
        <f t="shared" si="0"/>
        <v>50</v>
      </c>
      <c r="F33" s="204"/>
      <c r="G33" s="221">
        <v>50</v>
      </c>
      <c r="H33" s="221">
        <v>50</v>
      </c>
      <c r="I33" s="221">
        <v>60</v>
      </c>
      <c r="J33" s="221">
        <v>50</v>
      </c>
      <c r="K33" s="221">
        <v>50</v>
      </c>
      <c r="L33" s="221">
        <v>50</v>
      </c>
    </row>
    <row r="34" spans="1:12" s="134" customFormat="1" x14ac:dyDescent="0.2">
      <c r="A34" s="632"/>
      <c r="B34" s="142" t="s">
        <v>133</v>
      </c>
      <c r="C34" s="143"/>
      <c r="D34" s="248">
        <f>D33</f>
        <v>50</v>
      </c>
      <c r="E34" s="143">
        <f t="shared" si="0"/>
        <v>50</v>
      </c>
      <c r="F34" s="205"/>
      <c r="G34" s="248">
        <v>50</v>
      </c>
      <c r="H34" s="248">
        <v>50</v>
      </c>
      <c r="I34" s="248">
        <v>60</v>
      </c>
      <c r="J34" s="248">
        <v>50</v>
      </c>
      <c r="K34" s="248">
        <v>50</v>
      </c>
      <c r="L34" s="248">
        <v>50</v>
      </c>
    </row>
    <row r="35" spans="1:12" x14ac:dyDescent="0.2">
      <c r="A35" s="632"/>
      <c r="B35" s="106" t="s">
        <v>143</v>
      </c>
      <c r="C35" s="125"/>
      <c r="D35" s="223">
        <f>AVERAGE(D33:D34)-AVERAGE(D31:D32)</f>
        <v>17</v>
      </c>
      <c r="E35" s="125">
        <f t="shared" si="0"/>
        <v>17</v>
      </c>
      <c r="F35" s="204"/>
      <c r="G35" s="223">
        <v>17</v>
      </c>
      <c r="H35" s="223">
        <v>17</v>
      </c>
      <c r="I35" s="223">
        <v>17</v>
      </c>
      <c r="J35" s="223">
        <v>17</v>
      </c>
      <c r="K35" s="223">
        <v>17</v>
      </c>
      <c r="L35" s="223">
        <v>17</v>
      </c>
    </row>
    <row r="36" spans="1:12" s="134" customFormat="1" x14ac:dyDescent="0.2">
      <c r="A36" s="632"/>
      <c r="B36" s="135" t="s">
        <v>134</v>
      </c>
      <c r="C36" s="136"/>
      <c r="D36" s="223">
        <f>-(D31-167)</f>
        <v>134</v>
      </c>
      <c r="E36" s="136">
        <f t="shared" si="0"/>
        <v>134</v>
      </c>
      <c r="F36" s="205"/>
      <c r="G36" s="223">
        <v>134</v>
      </c>
      <c r="H36" s="223">
        <v>134</v>
      </c>
      <c r="I36" s="223">
        <v>134</v>
      </c>
      <c r="J36" s="223">
        <v>134</v>
      </c>
      <c r="K36" s="223">
        <v>134</v>
      </c>
      <c r="L36" s="223">
        <v>134</v>
      </c>
    </row>
    <row r="37" spans="1:12" x14ac:dyDescent="0.2">
      <c r="A37" s="632"/>
      <c r="B37" s="111" t="s">
        <v>135</v>
      </c>
      <c r="C37" s="128"/>
      <c r="D37" s="223">
        <f>-(D32-167)</f>
        <v>134</v>
      </c>
      <c r="E37" s="128">
        <f t="shared" si="0"/>
        <v>134</v>
      </c>
      <c r="F37" s="204"/>
      <c r="G37" s="223">
        <v>134</v>
      </c>
      <c r="H37" s="223">
        <v>134</v>
      </c>
      <c r="I37" s="223">
        <v>134</v>
      </c>
      <c r="J37" s="223">
        <v>134</v>
      </c>
      <c r="K37" s="223">
        <v>134</v>
      </c>
      <c r="L37" s="223">
        <v>134</v>
      </c>
    </row>
    <row r="38" spans="1:12" s="134" customFormat="1" x14ac:dyDescent="0.2">
      <c r="A38" s="632"/>
      <c r="B38" s="132" t="s">
        <v>144</v>
      </c>
      <c r="C38" s="133"/>
      <c r="D38" s="223">
        <f>-(((D33+D34)/2)-406)</f>
        <v>356</v>
      </c>
      <c r="E38" s="133">
        <f t="shared" si="0"/>
        <v>356</v>
      </c>
      <c r="F38" s="205"/>
      <c r="G38" s="223">
        <v>356</v>
      </c>
      <c r="H38" s="223">
        <v>356</v>
      </c>
      <c r="I38" s="223">
        <v>356</v>
      </c>
      <c r="J38" s="223">
        <v>356</v>
      </c>
      <c r="K38" s="223">
        <v>356</v>
      </c>
      <c r="L38" s="223">
        <v>356</v>
      </c>
    </row>
    <row r="39" spans="1:12" x14ac:dyDescent="0.2">
      <c r="A39" s="632"/>
      <c r="B39" s="110" t="s">
        <v>136</v>
      </c>
      <c r="C39" s="127"/>
      <c r="D39" s="216">
        <v>30</v>
      </c>
      <c r="E39" s="127">
        <f t="shared" si="0"/>
        <v>30</v>
      </c>
      <c r="F39" s="204"/>
      <c r="G39" s="216">
        <v>30</v>
      </c>
      <c r="H39" s="216">
        <v>30</v>
      </c>
      <c r="I39" s="216">
        <v>30</v>
      </c>
      <c r="J39" s="216">
        <v>30</v>
      </c>
      <c r="K39" s="216">
        <v>30</v>
      </c>
      <c r="L39" s="216">
        <v>30</v>
      </c>
    </row>
    <row r="40" spans="1:12" s="134" customFormat="1" x14ac:dyDescent="0.2">
      <c r="A40" s="632"/>
      <c r="B40" s="140" t="s">
        <v>137</v>
      </c>
      <c r="C40" s="141"/>
      <c r="D40" s="215">
        <v>30</v>
      </c>
      <c r="E40" s="141">
        <f t="shared" si="0"/>
        <v>30</v>
      </c>
      <c r="F40" s="205"/>
      <c r="G40" s="215">
        <v>30</v>
      </c>
      <c r="H40" s="215">
        <v>30</v>
      </c>
      <c r="I40" s="215">
        <v>30</v>
      </c>
      <c r="J40" s="215">
        <v>30</v>
      </c>
      <c r="K40" s="215">
        <v>30</v>
      </c>
      <c r="L40" s="215">
        <v>30</v>
      </c>
    </row>
    <row r="41" spans="1:12" x14ac:dyDescent="0.2">
      <c r="A41" s="632"/>
      <c r="B41" s="113" t="s">
        <v>138</v>
      </c>
      <c r="C41" s="129"/>
      <c r="D41" s="216">
        <v>25</v>
      </c>
      <c r="E41" s="129">
        <f t="shared" si="0"/>
        <v>25</v>
      </c>
      <c r="F41" s="204"/>
      <c r="G41" s="216">
        <v>25</v>
      </c>
      <c r="H41" s="216">
        <v>25</v>
      </c>
      <c r="I41" s="216">
        <v>25</v>
      </c>
      <c r="J41" s="216">
        <v>25</v>
      </c>
      <c r="K41" s="216">
        <v>25</v>
      </c>
      <c r="L41" s="216">
        <v>25</v>
      </c>
    </row>
    <row r="42" spans="1:12" s="134" customFormat="1" x14ac:dyDescent="0.2">
      <c r="A42" s="632"/>
      <c r="B42" s="142" t="s">
        <v>139</v>
      </c>
      <c r="C42" s="144"/>
      <c r="D42" s="215">
        <v>25</v>
      </c>
      <c r="E42" s="144">
        <f t="shared" si="0"/>
        <v>25</v>
      </c>
      <c r="F42" s="205"/>
      <c r="G42" s="215">
        <v>25</v>
      </c>
      <c r="H42" s="215">
        <v>25</v>
      </c>
      <c r="I42" s="215">
        <v>25</v>
      </c>
      <c r="J42" s="215">
        <v>25</v>
      </c>
      <c r="K42" s="215">
        <v>25</v>
      </c>
      <c r="L42" s="215">
        <v>25</v>
      </c>
    </row>
    <row r="43" spans="1:12" s="109" customFormat="1" ht="6" customHeight="1" x14ac:dyDescent="0.2">
      <c r="B43" s="108"/>
      <c r="C43" s="108"/>
      <c r="D43" s="213"/>
      <c r="E43" s="108"/>
      <c r="F43" s="206"/>
      <c r="G43" s="213"/>
      <c r="H43" s="213"/>
      <c r="I43" s="213"/>
      <c r="J43" s="213"/>
      <c r="K43" s="213"/>
      <c r="L43" s="213"/>
    </row>
    <row r="44" spans="1:12" x14ac:dyDescent="0.2">
      <c r="A44" s="632" t="s">
        <v>206</v>
      </c>
      <c r="B44" s="110" t="s">
        <v>219</v>
      </c>
      <c r="C44" s="131"/>
      <c r="D44" s="224">
        <v>-2.5</v>
      </c>
      <c r="E44" s="131">
        <f t="shared" si="0"/>
        <v>-2.5</v>
      </c>
      <c r="F44" s="204"/>
      <c r="G44" s="224">
        <v>-2.5</v>
      </c>
      <c r="H44" s="224">
        <v>-2.5</v>
      </c>
      <c r="I44" s="224">
        <v>-2.5</v>
      </c>
      <c r="J44" s="224">
        <v>-2.5</v>
      </c>
      <c r="K44" s="224">
        <v>-2.5</v>
      </c>
      <c r="L44" s="224">
        <v>-2.5</v>
      </c>
    </row>
    <row r="45" spans="1:12" s="134" customFormat="1" x14ac:dyDescent="0.2">
      <c r="A45" s="632"/>
      <c r="B45" s="140" t="s">
        <v>140</v>
      </c>
      <c r="C45" s="141"/>
      <c r="D45" s="225">
        <v>-2.5</v>
      </c>
      <c r="E45" s="141">
        <f t="shared" si="0"/>
        <v>-2.5</v>
      </c>
      <c r="F45" s="205"/>
      <c r="G45" s="225">
        <v>-2.5</v>
      </c>
      <c r="H45" s="225">
        <v>-2.5</v>
      </c>
      <c r="I45" s="225">
        <v>-2.5</v>
      </c>
      <c r="J45" s="225">
        <v>-2.5</v>
      </c>
      <c r="K45" s="225">
        <v>-2.5</v>
      </c>
      <c r="L45" s="225">
        <v>-2.5</v>
      </c>
    </row>
    <row r="46" spans="1:12" x14ac:dyDescent="0.2">
      <c r="A46" s="632"/>
      <c r="B46" s="113" t="s">
        <v>141</v>
      </c>
      <c r="C46" s="129"/>
      <c r="D46" s="224">
        <v>-1.5</v>
      </c>
      <c r="E46" s="129">
        <f t="shared" si="0"/>
        <v>-1.5</v>
      </c>
      <c r="F46" s="204"/>
      <c r="G46" s="224">
        <v>-1.5</v>
      </c>
      <c r="H46" s="224">
        <v>-1.5</v>
      </c>
      <c r="I46" s="224">
        <v>-1.5</v>
      </c>
      <c r="J46" s="224">
        <v>-1.5</v>
      </c>
      <c r="K46" s="224">
        <v>-1.5</v>
      </c>
      <c r="L46" s="224">
        <v>-1.5</v>
      </c>
    </row>
    <row r="47" spans="1:12" s="134" customFormat="1" x14ac:dyDescent="0.2">
      <c r="A47" s="632"/>
      <c r="B47" s="142" t="s">
        <v>142</v>
      </c>
      <c r="C47" s="143"/>
      <c r="D47" s="225">
        <v>-1.5</v>
      </c>
      <c r="E47" s="143">
        <f t="shared" si="0"/>
        <v>-1.5</v>
      </c>
      <c r="F47" s="205"/>
      <c r="G47" s="225">
        <v>-1.5</v>
      </c>
      <c r="H47" s="225">
        <v>-1.5</v>
      </c>
      <c r="I47" s="225">
        <v>-1.5</v>
      </c>
      <c r="J47" s="225">
        <v>-1.5</v>
      </c>
      <c r="K47" s="225">
        <v>-1.5</v>
      </c>
      <c r="L47" s="225">
        <v>-1.5</v>
      </c>
    </row>
    <row r="48" spans="1:12" x14ac:dyDescent="0.2">
      <c r="A48" s="632"/>
      <c r="B48" s="110" t="s">
        <v>122</v>
      </c>
      <c r="C48" s="127"/>
      <c r="D48" s="216">
        <v>20</v>
      </c>
      <c r="E48" s="127">
        <f t="shared" si="0"/>
        <v>20</v>
      </c>
      <c r="F48" s="204"/>
      <c r="G48" s="216">
        <v>20</v>
      </c>
      <c r="H48" s="216">
        <v>20</v>
      </c>
      <c r="I48" s="216">
        <v>20</v>
      </c>
      <c r="J48" s="216">
        <v>20</v>
      </c>
      <c r="K48" s="216">
        <v>20</v>
      </c>
      <c r="L48" s="216">
        <v>20</v>
      </c>
    </row>
    <row r="49" spans="1:12" s="134" customFormat="1" x14ac:dyDescent="0.2">
      <c r="A49" s="632"/>
      <c r="B49" s="140" t="s">
        <v>123</v>
      </c>
      <c r="C49" s="141"/>
      <c r="D49" s="215">
        <v>20</v>
      </c>
      <c r="E49" s="141">
        <f t="shared" si="0"/>
        <v>20</v>
      </c>
      <c r="F49" s="205"/>
      <c r="G49" s="215">
        <v>20</v>
      </c>
      <c r="H49" s="215">
        <v>20</v>
      </c>
      <c r="I49" s="215">
        <v>20</v>
      </c>
      <c r="J49" s="215">
        <v>20</v>
      </c>
      <c r="K49" s="215">
        <v>20</v>
      </c>
      <c r="L49" s="215">
        <v>20</v>
      </c>
    </row>
    <row r="50" spans="1:12" x14ac:dyDescent="0.2">
      <c r="A50" s="632"/>
      <c r="B50" s="113" t="s">
        <v>124</v>
      </c>
      <c r="C50" s="129"/>
      <c r="D50" s="216">
        <v>5</v>
      </c>
      <c r="E50" s="129">
        <f t="shared" si="0"/>
        <v>5</v>
      </c>
      <c r="F50" s="204"/>
      <c r="G50" s="216">
        <v>5</v>
      </c>
      <c r="H50" s="216">
        <v>5</v>
      </c>
      <c r="I50" s="216">
        <v>5</v>
      </c>
      <c r="J50" s="216">
        <v>5</v>
      </c>
      <c r="K50" s="216">
        <v>5</v>
      </c>
      <c r="L50" s="216">
        <v>5</v>
      </c>
    </row>
    <row r="51" spans="1:12" s="134" customFormat="1" x14ac:dyDescent="0.2">
      <c r="A51" s="632"/>
      <c r="B51" s="142" t="s">
        <v>125</v>
      </c>
      <c r="C51" s="144"/>
      <c r="D51" s="215">
        <v>5</v>
      </c>
      <c r="E51" s="144">
        <f t="shared" si="0"/>
        <v>5</v>
      </c>
      <c r="F51" s="205"/>
      <c r="G51" s="215">
        <v>5</v>
      </c>
      <c r="H51" s="215">
        <v>5</v>
      </c>
      <c r="I51" s="215">
        <v>5</v>
      </c>
      <c r="J51" s="215">
        <v>5</v>
      </c>
      <c r="K51" s="215">
        <v>5</v>
      </c>
      <c r="L51" s="215">
        <v>5</v>
      </c>
    </row>
    <row r="52" spans="1:12" s="109" customFormat="1" ht="6" customHeight="1" x14ac:dyDescent="0.2">
      <c r="A52" s="107"/>
      <c r="B52" s="108"/>
      <c r="C52" s="108"/>
      <c r="D52" s="213"/>
      <c r="E52" s="108"/>
      <c r="F52" s="206"/>
      <c r="G52" s="213"/>
      <c r="H52" s="213"/>
      <c r="I52" s="213"/>
      <c r="J52" s="213"/>
      <c r="K52" s="213"/>
      <c r="L52" s="213"/>
    </row>
    <row r="53" spans="1:12" x14ac:dyDescent="0.2">
      <c r="A53" s="632" t="s">
        <v>207</v>
      </c>
      <c r="B53" s="110" t="s">
        <v>126</v>
      </c>
      <c r="C53" s="131"/>
      <c r="D53" s="224" t="s">
        <v>353</v>
      </c>
      <c r="E53" s="131" t="str">
        <f t="shared" si="0"/>
        <v>-2.5 OUT</v>
      </c>
      <c r="F53" s="204"/>
      <c r="G53" s="224" t="s">
        <v>353</v>
      </c>
      <c r="H53" s="224" t="s">
        <v>353</v>
      </c>
      <c r="I53" s="224" t="s">
        <v>353</v>
      </c>
      <c r="J53" s="224" t="s">
        <v>353</v>
      </c>
      <c r="K53" s="224" t="s">
        <v>353</v>
      </c>
      <c r="L53" s="224" t="s">
        <v>353</v>
      </c>
    </row>
    <row r="54" spans="1:12" s="134" customFormat="1" x14ac:dyDescent="0.2">
      <c r="A54" s="632"/>
      <c r="B54" s="140" t="s">
        <v>127</v>
      </c>
      <c r="C54" s="141"/>
      <c r="D54" s="225" t="s">
        <v>353</v>
      </c>
      <c r="E54" s="141" t="str">
        <f t="shared" si="0"/>
        <v>-2.5 OUT</v>
      </c>
      <c r="F54" s="205"/>
      <c r="G54" s="225" t="s">
        <v>353</v>
      </c>
      <c r="H54" s="225" t="s">
        <v>353</v>
      </c>
      <c r="I54" s="225" t="s">
        <v>353</v>
      </c>
      <c r="J54" s="225" t="s">
        <v>353</v>
      </c>
      <c r="K54" s="225" t="s">
        <v>353</v>
      </c>
      <c r="L54" s="225" t="s">
        <v>353</v>
      </c>
    </row>
    <row r="55" spans="1:12" x14ac:dyDescent="0.2">
      <c r="A55" s="632"/>
      <c r="B55" s="113" t="s">
        <v>128</v>
      </c>
      <c r="C55" s="129"/>
      <c r="D55" s="224" t="s">
        <v>361</v>
      </c>
      <c r="E55" s="129" t="str">
        <f t="shared" si="0"/>
        <v>2.0 IN</v>
      </c>
      <c r="F55" s="204"/>
      <c r="G55" s="224" t="s">
        <v>361</v>
      </c>
      <c r="H55" s="224" t="s">
        <v>361</v>
      </c>
      <c r="I55" s="224" t="s">
        <v>361</v>
      </c>
      <c r="J55" s="224" t="s">
        <v>361</v>
      </c>
      <c r="K55" s="224" t="s">
        <v>361</v>
      </c>
      <c r="L55" s="224" t="s">
        <v>361</v>
      </c>
    </row>
    <row r="56" spans="1:12" s="134" customFormat="1" x14ac:dyDescent="0.2">
      <c r="A56" s="632"/>
      <c r="B56" s="142" t="s">
        <v>129</v>
      </c>
      <c r="C56" s="144"/>
      <c r="D56" s="225" t="s">
        <v>361</v>
      </c>
      <c r="E56" s="144" t="str">
        <f t="shared" si="0"/>
        <v>2.0 IN</v>
      </c>
      <c r="F56" s="205"/>
      <c r="G56" s="225" t="s">
        <v>361</v>
      </c>
      <c r="H56" s="225" t="s">
        <v>361</v>
      </c>
      <c r="I56" s="225" t="s">
        <v>361</v>
      </c>
      <c r="J56" s="225" t="s">
        <v>361</v>
      </c>
      <c r="K56" s="225" t="s">
        <v>361</v>
      </c>
      <c r="L56" s="225" t="s">
        <v>361</v>
      </c>
    </row>
    <row r="57" spans="1:12" s="109" customFormat="1" ht="6" customHeight="1" x14ac:dyDescent="0.2">
      <c r="A57" s="107"/>
      <c r="B57" s="108"/>
      <c r="C57" s="108"/>
      <c r="D57" s="213"/>
      <c r="E57" s="108"/>
      <c r="F57" s="206"/>
      <c r="G57" s="213"/>
      <c r="H57" s="213"/>
      <c r="I57" s="213"/>
      <c r="J57" s="213"/>
      <c r="K57" s="213"/>
      <c r="L57" s="213"/>
    </row>
    <row r="58" spans="1:12" x14ac:dyDescent="0.2">
      <c r="A58" s="632" t="s">
        <v>10</v>
      </c>
      <c r="B58" s="106" t="s">
        <v>145</v>
      </c>
      <c r="C58" s="124"/>
      <c r="D58" s="212" t="s">
        <v>30</v>
      </c>
      <c r="E58" s="124" t="str">
        <f t="shared" si="0"/>
        <v>standard</v>
      </c>
      <c r="F58" s="204"/>
      <c r="G58" s="212" t="s">
        <v>30</v>
      </c>
      <c r="H58" s="212" t="s">
        <v>30</v>
      </c>
      <c r="I58" s="212" t="s">
        <v>30</v>
      </c>
      <c r="J58" s="212" t="s">
        <v>30</v>
      </c>
      <c r="K58" s="212" t="s">
        <v>30</v>
      </c>
      <c r="L58" s="212" t="s">
        <v>30</v>
      </c>
    </row>
    <row r="59" spans="1:12" s="134" customFormat="1" x14ac:dyDescent="0.2">
      <c r="A59" s="632"/>
      <c r="B59" s="132" t="s">
        <v>12</v>
      </c>
      <c r="C59" s="133"/>
      <c r="D59" s="211" t="s">
        <v>106</v>
      </c>
      <c r="E59" s="133" t="str">
        <f t="shared" si="0"/>
        <v>40mm (300 Nm/rad)</v>
      </c>
      <c r="F59" s="205"/>
      <c r="G59" s="211" t="s">
        <v>106</v>
      </c>
      <c r="H59" s="211" t="s">
        <v>106</v>
      </c>
      <c r="I59" s="211" t="s">
        <v>106</v>
      </c>
      <c r="J59" s="211" t="s">
        <v>106</v>
      </c>
      <c r="K59" s="211" t="s">
        <v>106</v>
      </c>
      <c r="L59" s="211" t="s">
        <v>106</v>
      </c>
    </row>
    <row r="60" spans="1:12" x14ac:dyDescent="0.2">
      <c r="A60" s="632"/>
      <c r="B60" s="106" t="s">
        <v>146</v>
      </c>
      <c r="C60" s="125"/>
      <c r="D60" s="212" t="s">
        <v>389</v>
      </c>
      <c r="E60" s="125" t="str">
        <f t="shared" si="0"/>
        <v>medium-medium</v>
      </c>
      <c r="F60" s="204"/>
      <c r="G60" s="212" t="s">
        <v>389</v>
      </c>
      <c r="H60" s="212" t="s">
        <v>389</v>
      </c>
      <c r="I60" s="212" t="s">
        <v>389</v>
      </c>
      <c r="J60" s="212" t="s">
        <v>389</v>
      </c>
      <c r="K60" s="212" t="s">
        <v>389</v>
      </c>
      <c r="L60" s="212" t="s">
        <v>389</v>
      </c>
    </row>
    <row r="61" spans="1:12" s="134" customFormat="1" x14ac:dyDescent="0.2">
      <c r="A61" s="632"/>
      <c r="B61" s="132" t="s">
        <v>147</v>
      </c>
      <c r="C61" s="133"/>
      <c r="D61" s="211">
        <v>1302</v>
      </c>
      <c r="E61" s="133">
        <f t="shared" si="0"/>
        <v>1302</v>
      </c>
      <c r="F61" s="205"/>
      <c r="G61" s="211">
        <v>1302</v>
      </c>
      <c r="H61" s="211">
        <v>1302</v>
      </c>
      <c r="I61" s="211">
        <v>1302</v>
      </c>
      <c r="J61" s="211">
        <v>1302</v>
      </c>
      <c r="K61" s="211">
        <v>1302</v>
      </c>
      <c r="L61" s="211">
        <v>1302</v>
      </c>
    </row>
    <row r="62" spans="1:12" x14ac:dyDescent="0.2">
      <c r="A62" s="632"/>
      <c r="B62" s="106" t="s">
        <v>148</v>
      </c>
      <c r="C62" s="125"/>
      <c r="D62" s="226">
        <f>D61*0.175126875</f>
        <v>228.01519124999999</v>
      </c>
      <c r="E62" s="125">
        <f t="shared" si="0"/>
        <v>228.01519124999999</v>
      </c>
      <c r="F62" s="204"/>
      <c r="G62" s="226">
        <v>228.01519124999999</v>
      </c>
      <c r="H62" s="226">
        <v>228.01519124999999</v>
      </c>
      <c r="I62" s="226">
        <v>228.01519124999999</v>
      </c>
      <c r="J62" s="226">
        <v>228.01519124999999</v>
      </c>
      <c r="K62" s="226">
        <v>228.01519124999999</v>
      </c>
      <c r="L62" s="226">
        <v>228.01519124999999</v>
      </c>
    </row>
    <row r="63" spans="1:12" s="134" customFormat="1" x14ac:dyDescent="0.2">
      <c r="A63" s="632"/>
      <c r="B63" s="135" t="s">
        <v>215</v>
      </c>
      <c r="C63" s="136"/>
      <c r="D63" s="227">
        <v>88</v>
      </c>
      <c r="E63" s="136">
        <f t="shared" si="0"/>
        <v>88</v>
      </c>
      <c r="F63" s="205"/>
      <c r="G63" s="227">
        <v>88</v>
      </c>
      <c r="H63" s="227">
        <v>88</v>
      </c>
      <c r="I63" s="227">
        <v>88</v>
      </c>
      <c r="J63" s="227">
        <v>88</v>
      </c>
      <c r="K63" s="227">
        <v>88</v>
      </c>
      <c r="L63" s="227">
        <v>88</v>
      </c>
    </row>
    <row r="64" spans="1:12" x14ac:dyDescent="0.2">
      <c r="A64" s="632"/>
      <c r="B64" s="111" t="s">
        <v>214</v>
      </c>
      <c r="C64" s="128"/>
      <c r="D64" s="228">
        <v>88</v>
      </c>
      <c r="E64" s="128">
        <f t="shared" si="0"/>
        <v>88</v>
      </c>
      <c r="F64" s="204"/>
      <c r="G64" s="228">
        <v>88</v>
      </c>
      <c r="H64" s="228">
        <v>88</v>
      </c>
      <c r="I64" s="228">
        <v>88</v>
      </c>
      <c r="J64" s="228">
        <v>88</v>
      </c>
      <c r="K64" s="228">
        <v>88</v>
      </c>
      <c r="L64" s="228">
        <v>88</v>
      </c>
    </row>
    <row r="65" spans="1:12" s="134" customFormat="1" x14ac:dyDescent="0.2">
      <c r="A65" s="632"/>
      <c r="B65" s="132" t="s">
        <v>159</v>
      </c>
      <c r="C65" s="133"/>
      <c r="D65" s="211" t="s">
        <v>100</v>
      </c>
      <c r="E65" s="133" t="str">
        <f t="shared" si="0"/>
        <v>1 x 01193-81</v>
      </c>
      <c r="F65" s="205"/>
      <c r="G65" s="211" t="s">
        <v>100</v>
      </c>
      <c r="H65" s="211" t="s">
        <v>100</v>
      </c>
      <c r="I65" s="211" t="s">
        <v>100</v>
      </c>
      <c r="J65" s="211" t="s">
        <v>100</v>
      </c>
      <c r="K65" s="211" t="s">
        <v>100</v>
      </c>
      <c r="L65" s="211" t="s">
        <v>100</v>
      </c>
    </row>
    <row r="66" spans="1:12" x14ac:dyDescent="0.2">
      <c r="A66" s="632"/>
      <c r="B66" s="110" t="s">
        <v>149</v>
      </c>
      <c r="C66" s="127"/>
      <c r="D66" s="228"/>
      <c r="E66" s="127">
        <f t="shared" si="0"/>
        <v>0</v>
      </c>
      <c r="F66" s="204"/>
      <c r="G66" s="228"/>
      <c r="H66" s="228"/>
      <c r="I66" s="228"/>
      <c r="J66" s="228"/>
      <c r="K66" s="228"/>
      <c r="L66" s="228"/>
    </row>
    <row r="67" spans="1:12" s="134" customFormat="1" x14ac:dyDescent="0.2">
      <c r="A67" s="632"/>
      <c r="B67" s="140" t="s">
        <v>150</v>
      </c>
      <c r="C67" s="141"/>
      <c r="D67" s="227"/>
      <c r="E67" s="141">
        <f t="shared" si="0"/>
        <v>0</v>
      </c>
      <c r="F67" s="205"/>
      <c r="G67" s="227"/>
      <c r="H67" s="227"/>
      <c r="I67" s="227"/>
      <c r="J67" s="227"/>
      <c r="K67" s="227"/>
      <c r="L67" s="227"/>
    </row>
    <row r="68" spans="1:12" x14ac:dyDescent="0.2">
      <c r="A68" s="632"/>
      <c r="B68" s="110" t="s">
        <v>151</v>
      </c>
      <c r="C68" s="127"/>
      <c r="D68" s="228"/>
      <c r="E68" s="127">
        <f t="shared" si="0"/>
        <v>0</v>
      </c>
      <c r="F68" s="204"/>
      <c r="G68" s="228"/>
      <c r="H68" s="228"/>
      <c r="I68" s="228"/>
      <c r="J68" s="228"/>
      <c r="K68" s="228"/>
      <c r="L68" s="228"/>
    </row>
    <row r="69" spans="1:12" s="134" customFormat="1" x14ac:dyDescent="0.2">
      <c r="A69" s="632"/>
      <c r="B69" s="140" t="s">
        <v>152</v>
      </c>
      <c r="C69" s="141"/>
      <c r="D69" s="227"/>
      <c r="E69" s="141">
        <f t="shared" si="0"/>
        <v>0</v>
      </c>
      <c r="F69" s="205"/>
      <c r="G69" s="227"/>
      <c r="H69" s="227"/>
      <c r="I69" s="227"/>
      <c r="J69" s="227"/>
      <c r="K69" s="227"/>
      <c r="L69" s="227"/>
    </row>
    <row r="70" spans="1:12" x14ac:dyDescent="0.2">
      <c r="A70" s="632"/>
      <c r="B70" s="106" t="s">
        <v>153</v>
      </c>
      <c r="C70" s="125"/>
      <c r="D70" s="212" t="s">
        <v>50</v>
      </c>
      <c r="E70" s="125" t="str">
        <f t="shared" si="0"/>
        <v>Ohlins TX 2 way</v>
      </c>
      <c r="F70" s="204"/>
      <c r="G70" s="212" t="s">
        <v>50</v>
      </c>
      <c r="H70" s="212" t="s">
        <v>50</v>
      </c>
      <c r="I70" s="212" t="s">
        <v>50</v>
      </c>
      <c r="J70" s="212" t="s">
        <v>50</v>
      </c>
      <c r="K70" s="212" t="s">
        <v>50</v>
      </c>
      <c r="L70" s="212" t="s">
        <v>50</v>
      </c>
    </row>
    <row r="71" spans="1:12" s="134" customFormat="1" x14ac:dyDescent="0.2">
      <c r="A71" s="632"/>
      <c r="B71" s="132" t="s">
        <v>155</v>
      </c>
      <c r="C71" s="133"/>
      <c r="D71" s="229">
        <v>12</v>
      </c>
      <c r="E71" s="133">
        <f t="shared" si="0"/>
        <v>12</v>
      </c>
      <c r="F71" s="205"/>
      <c r="G71" s="229">
        <v>12</v>
      </c>
      <c r="H71" s="229">
        <v>12</v>
      </c>
      <c r="I71" s="229">
        <v>12</v>
      </c>
      <c r="J71" s="229">
        <v>12</v>
      </c>
      <c r="K71" s="229">
        <v>12</v>
      </c>
      <c r="L71" s="229">
        <v>12</v>
      </c>
    </row>
    <row r="72" spans="1:12" x14ac:dyDescent="0.2">
      <c r="A72" s="632"/>
      <c r="B72" s="106" t="s">
        <v>154</v>
      </c>
      <c r="C72" s="126"/>
      <c r="D72" s="230">
        <v>12</v>
      </c>
      <c r="E72" s="126">
        <f t="shared" si="0"/>
        <v>12</v>
      </c>
      <c r="F72" s="204"/>
      <c r="G72" s="230">
        <v>12</v>
      </c>
      <c r="H72" s="230">
        <v>12</v>
      </c>
      <c r="I72" s="230">
        <v>12</v>
      </c>
      <c r="J72" s="230">
        <v>12</v>
      </c>
      <c r="K72" s="230">
        <v>12</v>
      </c>
      <c r="L72" s="230">
        <v>12</v>
      </c>
    </row>
    <row r="73" spans="1:12" s="109" customFormat="1" ht="6" customHeight="1" x14ac:dyDescent="0.2">
      <c r="A73" s="107"/>
      <c r="B73" s="108"/>
      <c r="C73" s="108"/>
      <c r="D73" s="213"/>
      <c r="E73" s="108"/>
      <c r="F73" s="206"/>
      <c r="G73" s="213"/>
      <c r="H73" s="213"/>
      <c r="I73" s="213"/>
      <c r="J73" s="213"/>
      <c r="K73" s="213"/>
      <c r="L73" s="213"/>
    </row>
    <row r="74" spans="1:12" x14ac:dyDescent="0.2">
      <c r="A74" s="632" t="s">
        <v>41</v>
      </c>
      <c r="B74" s="106" t="s">
        <v>156</v>
      </c>
      <c r="C74" s="124"/>
      <c r="D74" s="212" t="s">
        <v>30</v>
      </c>
      <c r="E74" s="124" t="str">
        <f t="shared" si="0"/>
        <v>standard</v>
      </c>
      <c r="F74" s="204"/>
      <c r="G74" s="212" t="s">
        <v>30</v>
      </c>
      <c r="H74" s="212" t="s">
        <v>30</v>
      </c>
      <c r="I74" s="212" t="s">
        <v>30</v>
      </c>
      <c r="J74" s="212" t="s">
        <v>30</v>
      </c>
      <c r="K74" s="212" t="s">
        <v>30</v>
      </c>
      <c r="L74" s="212" t="s">
        <v>30</v>
      </c>
    </row>
    <row r="75" spans="1:12" s="134" customFormat="1" x14ac:dyDescent="0.2">
      <c r="A75" s="632"/>
      <c r="B75" s="132" t="s">
        <v>15</v>
      </c>
      <c r="C75" s="133"/>
      <c r="D75" s="211" t="s">
        <v>237</v>
      </c>
      <c r="E75" s="133" t="str">
        <f t="shared" ref="E75:E138" si="1">D75</f>
        <v>20mm (200 Nm/rad)</v>
      </c>
      <c r="F75" s="205"/>
      <c r="G75" s="211" t="s">
        <v>237</v>
      </c>
      <c r="H75" s="211" t="s">
        <v>237</v>
      </c>
      <c r="I75" s="211" t="s">
        <v>237</v>
      </c>
      <c r="J75" s="211" t="s">
        <v>237</v>
      </c>
      <c r="K75" s="211" t="s">
        <v>237</v>
      </c>
      <c r="L75" s="211" t="s">
        <v>237</v>
      </c>
    </row>
    <row r="76" spans="1:12" x14ac:dyDescent="0.2">
      <c r="A76" s="632"/>
      <c r="B76" s="106" t="s">
        <v>157</v>
      </c>
      <c r="C76" s="125"/>
      <c r="D76" s="212" t="s">
        <v>43</v>
      </c>
      <c r="E76" s="125" t="str">
        <f t="shared" si="1"/>
        <v>3/3</v>
      </c>
      <c r="F76" s="204"/>
      <c r="G76" s="212" t="s">
        <v>43</v>
      </c>
      <c r="H76" s="212" t="s">
        <v>43</v>
      </c>
      <c r="I76" s="212" t="s">
        <v>43</v>
      </c>
      <c r="J76" s="212" t="s">
        <v>43</v>
      </c>
      <c r="K76" s="212" t="s">
        <v>238</v>
      </c>
      <c r="L76" s="212" t="s">
        <v>43</v>
      </c>
    </row>
    <row r="77" spans="1:12" s="134" customFormat="1" x14ac:dyDescent="0.2">
      <c r="A77" s="632"/>
      <c r="B77" s="132" t="s">
        <v>457</v>
      </c>
      <c r="C77" s="133"/>
      <c r="D77" s="211">
        <v>1050</v>
      </c>
      <c r="E77" s="133">
        <f t="shared" si="1"/>
        <v>1050</v>
      </c>
      <c r="F77" s="205"/>
      <c r="G77" s="211">
        <v>1050</v>
      </c>
      <c r="H77" s="211">
        <v>1050</v>
      </c>
      <c r="I77" s="211">
        <v>1050</v>
      </c>
      <c r="J77" s="211">
        <v>1050</v>
      </c>
      <c r="K77" s="211">
        <v>1050</v>
      </c>
      <c r="L77" s="211">
        <v>1050</v>
      </c>
    </row>
    <row r="78" spans="1:12" x14ac:dyDescent="0.2">
      <c r="A78" s="632"/>
      <c r="B78" s="106" t="s">
        <v>458</v>
      </c>
      <c r="C78" s="125"/>
      <c r="D78" s="226">
        <f>D77*0.175126875</f>
        <v>183.88321875</v>
      </c>
      <c r="E78" s="125">
        <f t="shared" si="1"/>
        <v>183.88321875</v>
      </c>
      <c r="F78" s="204"/>
      <c r="G78" s="226">
        <v>183.88321875</v>
      </c>
      <c r="H78" s="226">
        <v>183.88321875</v>
      </c>
      <c r="I78" s="226">
        <v>183.88321875</v>
      </c>
      <c r="J78" s="226">
        <v>183.88321875</v>
      </c>
      <c r="K78" s="226">
        <v>183.88321875</v>
      </c>
      <c r="L78" s="226">
        <v>183.88321875</v>
      </c>
    </row>
    <row r="79" spans="1:12" s="134" customFormat="1" x14ac:dyDescent="0.2">
      <c r="A79" s="632"/>
      <c r="B79" s="137" t="s">
        <v>216</v>
      </c>
      <c r="C79" s="133"/>
      <c r="D79" s="227">
        <v>98</v>
      </c>
      <c r="E79" s="133">
        <f t="shared" si="1"/>
        <v>98</v>
      </c>
      <c r="F79" s="205"/>
      <c r="G79" s="227">
        <v>98</v>
      </c>
      <c r="H79" s="227">
        <v>98</v>
      </c>
      <c r="I79" s="227">
        <v>98</v>
      </c>
      <c r="J79" s="227">
        <v>98</v>
      </c>
      <c r="K79" s="227">
        <v>98</v>
      </c>
      <c r="L79" s="227">
        <v>98</v>
      </c>
    </row>
    <row r="80" spans="1:12" s="154" customFormat="1" x14ac:dyDescent="0.2">
      <c r="A80" s="632"/>
      <c r="B80" s="198" t="s">
        <v>217</v>
      </c>
      <c r="C80" s="199"/>
      <c r="D80" s="231">
        <v>98</v>
      </c>
      <c r="E80" s="199">
        <f t="shared" si="1"/>
        <v>98</v>
      </c>
      <c r="F80" s="207"/>
      <c r="G80" s="231">
        <v>98</v>
      </c>
      <c r="H80" s="231">
        <v>98</v>
      </c>
      <c r="I80" s="231">
        <v>98</v>
      </c>
      <c r="J80" s="231">
        <v>98</v>
      </c>
      <c r="K80" s="231">
        <v>98</v>
      </c>
      <c r="L80" s="231">
        <v>98</v>
      </c>
    </row>
    <row r="81" spans="1:12" s="134" customFormat="1" x14ac:dyDescent="0.2">
      <c r="A81" s="632"/>
      <c r="B81" s="132" t="s">
        <v>160</v>
      </c>
      <c r="C81" s="133"/>
      <c r="D81" s="211" t="s">
        <v>42</v>
      </c>
      <c r="E81" s="133" t="str">
        <f t="shared" si="1"/>
        <v>2x01119S-61 Med</v>
      </c>
      <c r="F81" s="205"/>
      <c r="G81" s="211" t="s">
        <v>42</v>
      </c>
      <c r="H81" s="211" t="s">
        <v>42</v>
      </c>
      <c r="I81" s="211" t="s">
        <v>42</v>
      </c>
      <c r="J81" s="211" t="s">
        <v>42</v>
      </c>
      <c r="K81" s="211" t="s">
        <v>42</v>
      </c>
      <c r="L81" s="211" t="s">
        <v>42</v>
      </c>
    </row>
    <row r="82" spans="1:12" x14ac:dyDescent="0.2">
      <c r="A82" s="632"/>
      <c r="B82" s="113" t="s">
        <v>161</v>
      </c>
      <c r="C82" s="129"/>
      <c r="D82" s="228"/>
      <c r="E82" s="129">
        <f t="shared" si="1"/>
        <v>0</v>
      </c>
      <c r="F82" s="204"/>
      <c r="G82" s="228"/>
      <c r="H82" s="228"/>
      <c r="I82" s="228"/>
      <c r="J82" s="228"/>
      <c r="K82" s="228"/>
      <c r="L82" s="228"/>
    </row>
    <row r="83" spans="1:12" s="134" customFormat="1" x14ac:dyDescent="0.2">
      <c r="A83" s="632"/>
      <c r="B83" s="142" t="s">
        <v>162</v>
      </c>
      <c r="C83" s="143"/>
      <c r="D83" s="227"/>
      <c r="E83" s="143">
        <f t="shared" si="1"/>
        <v>0</v>
      </c>
      <c r="F83" s="205"/>
      <c r="G83" s="227"/>
      <c r="H83" s="227"/>
      <c r="I83" s="227"/>
      <c r="J83" s="227"/>
      <c r="K83" s="227"/>
      <c r="L83" s="227"/>
    </row>
    <row r="84" spans="1:12" x14ac:dyDescent="0.2">
      <c r="A84" s="632"/>
      <c r="B84" s="113" t="s">
        <v>163</v>
      </c>
      <c r="C84" s="129"/>
      <c r="D84" s="228"/>
      <c r="E84" s="129">
        <f t="shared" si="1"/>
        <v>0</v>
      </c>
      <c r="F84" s="204"/>
      <c r="G84" s="228"/>
      <c r="H84" s="228"/>
      <c r="I84" s="228"/>
      <c r="J84" s="228"/>
      <c r="K84" s="228"/>
      <c r="L84" s="228"/>
    </row>
    <row r="85" spans="1:12" s="134" customFormat="1" x14ac:dyDescent="0.2">
      <c r="A85" s="632"/>
      <c r="B85" s="142" t="s">
        <v>164</v>
      </c>
      <c r="C85" s="143"/>
      <c r="D85" s="227"/>
      <c r="E85" s="143">
        <f t="shared" si="1"/>
        <v>0</v>
      </c>
      <c r="F85" s="205"/>
      <c r="G85" s="227"/>
      <c r="H85" s="227"/>
      <c r="I85" s="227"/>
      <c r="J85" s="227"/>
      <c r="K85" s="227"/>
      <c r="L85" s="227"/>
    </row>
    <row r="86" spans="1:12" x14ac:dyDescent="0.2">
      <c r="A86" s="632"/>
      <c r="B86" s="106" t="s">
        <v>165</v>
      </c>
      <c r="C86" s="125"/>
      <c r="D86" s="212" t="s">
        <v>50</v>
      </c>
      <c r="E86" s="125" t="str">
        <f t="shared" si="1"/>
        <v>Ohlins TX 2 way</v>
      </c>
      <c r="F86" s="204"/>
      <c r="G86" s="212" t="s">
        <v>50</v>
      </c>
      <c r="H86" s="212" t="s">
        <v>50</v>
      </c>
      <c r="I86" s="212" t="s">
        <v>50</v>
      </c>
      <c r="J86" s="212" t="s">
        <v>50</v>
      </c>
      <c r="K86" s="212" t="s">
        <v>50</v>
      </c>
      <c r="L86" s="212" t="s">
        <v>50</v>
      </c>
    </row>
    <row r="87" spans="1:12" s="134" customFormat="1" x14ac:dyDescent="0.2">
      <c r="A87" s="632"/>
      <c r="B87" s="132" t="s">
        <v>166</v>
      </c>
      <c r="C87" s="133"/>
      <c r="D87" s="229">
        <v>12</v>
      </c>
      <c r="E87" s="133">
        <f t="shared" si="1"/>
        <v>12</v>
      </c>
      <c r="F87" s="205"/>
      <c r="G87" s="229">
        <v>12</v>
      </c>
      <c r="H87" s="229">
        <v>12</v>
      </c>
      <c r="I87" s="229">
        <v>12</v>
      </c>
      <c r="J87" s="229">
        <v>12</v>
      </c>
      <c r="K87" s="229">
        <v>12</v>
      </c>
      <c r="L87" s="229">
        <v>12</v>
      </c>
    </row>
    <row r="88" spans="1:12" x14ac:dyDescent="0.2">
      <c r="A88" s="632"/>
      <c r="B88" s="106" t="s">
        <v>167</v>
      </c>
      <c r="C88" s="126"/>
      <c r="D88" s="230">
        <v>12</v>
      </c>
      <c r="E88" s="126">
        <f t="shared" si="1"/>
        <v>12</v>
      </c>
      <c r="F88" s="204"/>
      <c r="G88" s="230">
        <v>12</v>
      </c>
      <c r="H88" s="230">
        <v>12</v>
      </c>
      <c r="I88" s="230">
        <v>12</v>
      </c>
      <c r="J88" s="230">
        <v>12</v>
      </c>
      <c r="K88" s="230">
        <v>12</v>
      </c>
      <c r="L88" s="230">
        <v>12</v>
      </c>
    </row>
    <row r="89" spans="1:12" s="109" customFormat="1" ht="6" customHeight="1" x14ac:dyDescent="0.2">
      <c r="A89" s="107"/>
      <c r="B89" s="108"/>
      <c r="C89" s="108"/>
      <c r="D89" s="213"/>
      <c r="E89" s="108"/>
      <c r="F89" s="206"/>
      <c r="G89" s="213"/>
      <c r="H89" s="213"/>
      <c r="I89" s="213"/>
      <c r="J89" s="213"/>
      <c r="K89" s="213"/>
      <c r="L89" s="213"/>
    </row>
    <row r="90" spans="1:12" x14ac:dyDescent="0.2">
      <c r="A90" s="632" t="s">
        <v>208</v>
      </c>
      <c r="B90" s="106" t="s">
        <v>168</v>
      </c>
      <c r="C90" s="124"/>
      <c r="D90" s="212">
        <v>12</v>
      </c>
      <c r="E90" s="124">
        <f t="shared" si="1"/>
        <v>12</v>
      </c>
      <c r="F90" s="204"/>
      <c r="G90" s="212">
        <v>12</v>
      </c>
      <c r="H90" s="212">
        <v>12</v>
      </c>
      <c r="I90" s="212">
        <v>12</v>
      </c>
      <c r="J90" s="212">
        <v>12</v>
      </c>
      <c r="K90" s="212">
        <v>12</v>
      </c>
      <c r="L90" s="212">
        <v>12</v>
      </c>
    </row>
    <row r="91" spans="1:12" s="134" customFormat="1" x14ac:dyDescent="0.2">
      <c r="A91" s="632"/>
      <c r="B91" s="132" t="s">
        <v>218</v>
      </c>
      <c r="C91" s="133"/>
      <c r="D91" s="211">
        <v>3</v>
      </c>
      <c r="E91" s="133">
        <f t="shared" si="1"/>
        <v>3</v>
      </c>
      <c r="F91" s="205"/>
      <c r="G91" s="211">
        <v>3</v>
      </c>
      <c r="H91" s="211">
        <v>3</v>
      </c>
      <c r="I91" s="211">
        <v>3</v>
      </c>
      <c r="J91" s="211">
        <v>3</v>
      </c>
      <c r="K91" s="211">
        <v>3</v>
      </c>
      <c r="L91" s="211">
        <v>3</v>
      </c>
    </row>
    <row r="92" spans="1:12" x14ac:dyDescent="0.2">
      <c r="A92" s="632"/>
      <c r="B92" s="106" t="s">
        <v>209</v>
      </c>
      <c r="C92" s="125"/>
      <c r="D92" s="232">
        <f>VLOOKUP(D61,Options!P4:R8,2)</f>
        <v>207.898</v>
      </c>
      <c r="E92" s="125">
        <f t="shared" si="1"/>
        <v>207.898</v>
      </c>
      <c r="F92" s="204"/>
      <c r="G92" s="232">
        <v>207.898</v>
      </c>
      <c r="H92" s="232">
        <v>207.898</v>
      </c>
      <c r="I92" s="232">
        <v>207.898</v>
      </c>
      <c r="J92" s="232">
        <v>207.898</v>
      </c>
      <c r="K92" s="232">
        <v>207.898</v>
      </c>
      <c r="L92" s="232">
        <v>207.898</v>
      </c>
    </row>
    <row r="93" spans="1:12" s="134" customFormat="1" x14ac:dyDescent="0.2">
      <c r="A93" s="632"/>
      <c r="B93" s="132" t="s">
        <v>210</v>
      </c>
      <c r="C93" s="133"/>
      <c r="D93" s="232">
        <f>VLOOKUP(D77,Options!Y4:AA9,2)</f>
        <v>123.113</v>
      </c>
      <c r="E93" s="133">
        <f t="shared" si="1"/>
        <v>123.113</v>
      </c>
      <c r="F93" s="205"/>
      <c r="G93" s="232">
        <v>123.113</v>
      </c>
      <c r="H93" s="232">
        <v>123.113</v>
      </c>
      <c r="I93" s="232">
        <v>123.113</v>
      </c>
      <c r="J93" s="232">
        <v>123.113</v>
      </c>
      <c r="K93" s="232">
        <v>123.113</v>
      </c>
      <c r="L93" s="232">
        <v>123.113</v>
      </c>
    </row>
    <row r="94" spans="1:12" x14ac:dyDescent="0.2">
      <c r="A94" s="632"/>
      <c r="B94" s="106" t="s">
        <v>366</v>
      </c>
      <c r="C94" s="125"/>
      <c r="D94" s="232">
        <f>D92+D93</f>
        <v>331.01099999999997</v>
      </c>
      <c r="E94" s="125">
        <f t="shared" si="1"/>
        <v>331.01099999999997</v>
      </c>
      <c r="F94" s="204"/>
      <c r="G94" s="232">
        <v>331.01099999999997</v>
      </c>
      <c r="H94" s="232">
        <v>331.01099999999997</v>
      </c>
      <c r="I94" s="232">
        <v>331.01099999999997</v>
      </c>
      <c r="J94" s="232">
        <v>331.01099999999997</v>
      </c>
      <c r="K94" s="232">
        <v>331.01099999999997</v>
      </c>
      <c r="L94" s="232">
        <v>331.01099999999997</v>
      </c>
    </row>
    <row r="95" spans="1:12" s="134" customFormat="1" x14ac:dyDescent="0.2">
      <c r="A95" s="632"/>
      <c r="B95" s="132" t="s">
        <v>169</v>
      </c>
      <c r="C95" s="139"/>
      <c r="D95" s="246">
        <f>' mb% calc'!J42</f>
        <v>46.6</v>
      </c>
      <c r="E95" s="139">
        <f t="shared" si="1"/>
        <v>46.6</v>
      </c>
      <c r="F95" s="205"/>
      <c r="G95" s="246">
        <v>46.6</v>
      </c>
      <c r="H95" s="246">
        <v>46.6</v>
      </c>
      <c r="I95" s="246">
        <v>46.6</v>
      </c>
      <c r="J95" s="246">
        <v>46.6</v>
      </c>
      <c r="K95" s="246">
        <v>51.4</v>
      </c>
      <c r="L95" s="246">
        <v>46.6</v>
      </c>
    </row>
    <row r="96" spans="1:12" s="109" customFormat="1" ht="6" customHeight="1" x14ac:dyDescent="0.2">
      <c r="A96" s="107"/>
      <c r="B96" s="108"/>
      <c r="C96" s="108"/>
      <c r="D96" s="233"/>
      <c r="E96" s="108"/>
      <c r="F96" s="206"/>
      <c r="G96" s="233"/>
      <c r="H96" s="233"/>
      <c r="I96" s="233"/>
      <c r="J96" s="233"/>
      <c r="K96" s="233"/>
      <c r="L96" s="233"/>
    </row>
    <row r="97" spans="1:12" ht="12.75" customHeight="1" x14ac:dyDescent="0.2">
      <c r="A97" s="632" t="s">
        <v>213</v>
      </c>
      <c r="B97" s="106" t="s">
        <v>170</v>
      </c>
      <c r="C97" s="124"/>
      <c r="D97" s="212" t="s">
        <v>31</v>
      </c>
      <c r="E97" s="124" t="str">
        <f t="shared" si="1"/>
        <v>none</v>
      </c>
      <c r="F97" s="204"/>
      <c r="G97" s="212" t="s">
        <v>31</v>
      </c>
      <c r="H97" s="212" t="s">
        <v>31</v>
      </c>
      <c r="I97" s="212" t="s">
        <v>31</v>
      </c>
      <c r="J97" s="212" t="s">
        <v>31</v>
      </c>
      <c r="K97" s="212" t="s">
        <v>31</v>
      </c>
      <c r="L97" s="212" t="s">
        <v>31</v>
      </c>
    </row>
    <row r="98" spans="1:12" s="134" customFormat="1" x14ac:dyDescent="0.2">
      <c r="A98" s="632"/>
      <c r="B98" s="132" t="s">
        <v>171</v>
      </c>
      <c r="C98" s="133"/>
      <c r="D98" s="211" t="s">
        <v>58</v>
      </c>
      <c r="E98" s="133" t="str">
        <f t="shared" si="1"/>
        <v>yes</v>
      </c>
      <c r="F98" s="205"/>
      <c r="G98" s="211" t="s">
        <v>58</v>
      </c>
      <c r="H98" s="211" t="s">
        <v>58</v>
      </c>
      <c r="I98" s="211" t="s">
        <v>58</v>
      </c>
      <c r="J98" s="211" t="s">
        <v>58</v>
      </c>
      <c r="K98" s="211" t="s">
        <v>58</v>
      </c>
      <c r="L98" s="211" t="s">
        <v>58</v>
      </c>
    </row>
    <row r="99" spans="1:12" x14ac:dyDescent="0.2">
      <c r="A99" s="632"/>
      <c r="B99" s="106" t="s">
        <v>172</v>
      </c>
      <c r="C99" s="125"/>
      <c r="D99" s="212" t="s">
        <v>58</v>
      </c>
      <c r="E99" s="125" t="str">
        <f t="shared" si="1"/>
        <v>yes</v>
      </c>
      <c r="F99" s="204"/>
      <c r="G99" s="212" t="s">
        <v>58</v>
      </c>
      <c r="H99" s="212" t="s">
        <v>58</v>
      </c>
      <c r="I99" s="212" t="s">
        <v>58</v>
      </c>
      <c r="J99" s="212" t="s">
        <v>58</v>
      </c>
      <c r="K99" s="212" t="s">
        <v>58</v>
      </c>
      <c r="L99" s="212" t="s">
        <v>58</v>
      </c>
    </row>
    <row r="100" spans="1:12" s="134" customFormat="1" x14ac:dyDescent="0.2">
      <c r="A100" s="632"/>
      <c r="B100" s="132" t="s">
        <v>246</v>
      </c>
      <c r="C100" s="133"/>
      <c r="D100" s="211" t="s">
        <v>58</v>
      </c>
      <c r="E100" s="133" t="str">
        <f t="shared" si="1"/>
        <v>yes</v>
      </c>
      <c r="F100" s="205"/>
      <c r="G100" s="211" t="s">
        <v>58</v>
      </c>
      <c r="H100" s="211" t="s">
        <v>58</v>
      </c>
      <c r="I100" s="211" t="s">
        <v>58</v>
      </c>
      <c r="J100" s="211" t="s">
        <v>58</v>
      </c>
      <c r="K100" s="211" t="s">
        <v>58</v>
      </c>
      <c r="L100" s="211" t="s">
        <v>58</v>
      </c>
    </row>
    <row r="101" spans="1:12" x14ac:dyDescent="0.2">
      <c r="A101" s="632"/>
      <c r="B101" s="106" t="s">
        <v>174</v>
      </c>
      <c r="C101" s="125"/>
      <c r="D101" s="212" t="s">
        <v>58</v>
      </c>
      <c r="E101" s="125" t="str">
        <f t="shared" si="1"/>
        <v>yes</v>
      </c>
      <c r="F101" s="204"/>
      <c r="G101" s="212" t="s">
        <v>58</v>
      </c>
      <c r="H101" s="212" t="s">
        <v>58</v>
      </c>
      <c r="I101" s="212" t="s">
        <v>58</v>
      </c>
      <c r="J101" s="212" t="s">
        <v>58</v>
      </c>
      <c r="K101" s="212" t="s">
        <v>58</v>
      </c>
      <c r="L101" s="212" t="s">
        <v>58</v>
      </c>
    </row>
    <row r="102" spans="1:12" s="134" customFormat="1" x14ac:dyDescent="0.2">
      <c r="A102" s="632"/>
      <c r="B102" s="132" t="s">
        <v>29</v>
      </c>
      <c r="C102" s="133"/>
      <c r="D102" s="211"/>
      <c r="E102" s="133">
        <f t="shared" si="1"/>
        <v>0</v>
      </c>
      <c r="F102" s="205"/>
      <c r="G102" s="211"/>
      <c r="H102" s="211"/>
      <c r="I102" s="211"/>
      <c r="J102" s="211"/>
      <c r="K102" s="211"/>
      <c r="L102" s="211"/>
    </row>
    <row r="103" spans="1:12" ht="12.75" customHeight="1" x14ac:dyDescent="0.2">
      <c r="A103" s="632"/>
      <c r="B103" s="106" t="s">
        <v>175</v>
      </c>
      <c r="C103" s="125"/>
      <c r="D103" s="212" t="s">
        <v>251</v>
      </c>
      <c r="E103" s="125" t="str">
        <f t="shared" si="1"/>
        <v>hole 4</v>
      </c>
      <c r="F103" s="204"/>
      <c r="G103" s="212" t="s">
        <v>251</v>
      </c>
      <c r="H103" s="212" t="s">
        <v>251</v>
      </c>
      <c r="I103" s="212" t="s">
        <v>251</v>
      </c>
      <c r="J103" s="212" t="s">
        <v>251</v>
      </c>
      <c r="K103" s="212" t="s">
        <v>251</v>
      </c>
      <c r="L103" s="212" t="s">
        <v>251</v>
      </c>
    </row>
    <row r="104" spans="1:12" s="134" customFormat="1" x14ac:dyDescent="0.2">
      <c r="A104" s="632"/>
      <c r="B104" s="132" t="s">
        <v>176</v>
      </c>
      <c r="C104" s="133"/>
      <c r="D104" s="211">
        <v>0</v>
      </c>
      <c r="E104" s="133">
        <f t="shared" si="1"/>
        <v>0</v>
      </c>
      <c r="F104" s="205"/>
      <c r="G104" s="211">
        <v>0</v>
      </c>
      <c r="H104" s="211">
        <v>0</v>
      </c>
      <c r="I104" s="211">
        <v>0</v>
      </c>
      <c r="J104" s="211">
        <v>0</v>
      </c>
      <c r="K104" s="211">
        <v>0</v>
      </c>
      <c r="L104" s="211">
        <v>0</v>
      </c>
    </row>
    <row r="105" spans="1:12" x14ac:dyDescent="0.2">
      <c r="A105" s="632"/>
      <c r="B105" s="106" t="s">
        <v>177</v>
      </c>
      <c r="C105" s="125"/>
      <c r="D105" s="212" t="s">
        <v>34</v>
      </c>
      <c r="E105" s="125" t="str">
        <f t="shared" si="1"/>
        <v>50/27</v>
      </c>
      <c r="F105" s="204"/>
      <c r="G105" s="212" t="s">
        <v>34</v>
      </c>
      <c r="H105" s="212" t="s">
        <v>34</v>
      </c>
      <c r="I105" s="212" t="s">
        <v>34</v>
      </c>
      <c r="J105" s="212" t="s">
        <v>34</v>
      </c>
      <c r="K105" s="212" t="s">
        <v>34</v>
      </c>
      <c r="L105" s="212" t="s">
        <v>34</v>
      </c>
    </row>
    <row r="106" spans="1:12" s="134" customFormat="1" x14ac:dyDescent="0.2">
      <c r="A106" s="632"/>
      <c r="B106" s="132" t="s">
        <v>29</v>
      </c>
      <c r="C106" s="139"/>
      <c r="D106" s="211"/>
      <c r="E106" s="139">
        <f t="shared" si="1"/>
        <v>0</v>
      </c>
      <c r="F106" s="205"/>
      <c r="G106" s="211"/>
      <c r="H106" s="211"/>
      <c r="I106" s="211"/>
      <c r="J106" s="211"/>
      <c r="K106" s="211"/>
      <c r="L106" s="211"/>
    </row>
    <row r="107" spans="1:12" s="109" customFormat="1" ht="6" customHeight="1" x14ac:dyDescent="0.2">
      <c r="A107" s="107"/>
      <c r="B107" s="108"/>
      <c r="C107" s="108"/>
      <c r="D107" s="213"/>
      <c r="E107" s="108"/>
      <c r="F107" s="206"/>
      <c r="G107" s="213"/>
      <c r="H107" s="213"/>
      <c r="I107" s="213"/>
      <c r="J107" s="213"/>
      <c r="K107" s="213"/>
      <c r="L107" s="213"/>
    </row>
    <row r="108" spans="1:12" ht="12.75" customHeight="1" x14ac:dyDescent="0.2">
      <c r="A108" s="633" t="s">
        <v>9</v>
      </c>
      <c r="B108" s="106" t="s">
        <v>178</v>
      </c>
      <c r="C108" s="124" t="s">
        <v>245</v>
      </c>
      <c r="D108" s="212" t="s">
        <v>103</v>
      </c>
      <c r="E108" s="124" t="str">
        <f t="shared" si="1"/>
        <v>Alcon CAR8949Y/ZG</v>
      </c>
      <c r="F108" s="204"/>
      <c r="G108" s="212" t="s">
        <v>103</v>
      </c>
      <c r="H108" s="212" t="s">
        <v>103</v>
      </c>
      <c r="I108" s="212" t="s">
        <v>103</v>
      </c>
      <c r="J108" s="212" t="s">
        <v>103</v>
      </c>
      <c r="K108" s="212" t="s">
        <v>103</v>
      </c>
      <c r="L108" s="212" t="s">
        <v>103</v>
      </c>
    </row>
    <row r="109" spans="1:12" s="134" customFormat="1" x14ac:dyDescent="0.2">
      <c r="A109" s="634"/>
      <c r="B109" s="132" t="s">
        <v>185</v>
      </c>
      <c r="C109" s="133"/>
      <c r="D109" s="211" t="s">
        <v>465</v>
      </c>
      <c r="E109" s="133" t="str">
        <f t="shared" si="1"/>
        <v>13/16" (20.625mm)</v>
      </c>
      <c r="F109" s="205"/>
      <c r="G109" s="211" t="s">
        <v>465</v>
      </c>
      <c r="H109" s="211" t="s">
        <v>465</v>
      </c>
      <c r="I109" s="211" t="s">
        <v>465</v>
      </c>
      <c r="J109" s="211" t="s">
        <v>465</v>
      </c>
      <c r="K109" s="211" t="s">
        <v>465</v>
      </c>
      <c r="L109" s="211" t="s">
        <v>465</v>
      </c>
    </row>
    <row r="110" spans="1:12" x14ac:dyDescent="0.2">
      <c r="A110" s="634"/>
      <c r="B110" s="121" t="s">
        <v>239</v>
      </c>
      <c r="C110" s="127"/>
      <c r="D110" s="212" t="s">
        <v>102</v>
      </c>
      <c r="E110" s="127" t="str">
        <f t="shared" si="1"/>
        <v>Alcon 10049/50</v>
      </c>
      <c r="F110" s="204"/>
      <c r="G110" s="212" t="s">
        <v>102</v>
      </c>
      <c r="H110" s="212" t="s">
        <v>102</v>
      </c>
      <c r="I110" s="212" t="s">
        <v>102</v>
      </c>
      <c r="J110" s="212" t="s">
        <v>102</v>
      </c>
      <c r="K110" s="212" t="s">
        <v>102</v>
      </c>
      <c r="L110" s="212" t="s">
        <v>102</v>
      </c>
    </row>
    <row r="111" spans="1:12" s="134" customFormat="1" x14ac:dyDescent="0.2">
      <c r="A111" s="634"/>
      <c r="B111" s="145" t="s">
        <v>240</v>
      </c>
      <c r="C111" s="136"/>
      <c r="D111" s="211" t="s">
        <v>101</v>
      </c>
      <c r="E111" s="136" t="str">
        <f t="shared" si="1"/>
        <v>Endless RCP11</v>
      </c>
      <c r="F111" s="205"/>
      <c r="G111" s="211" t="s">
        <v>101</v>
      </c>
      <c r="H111" s="211" t="s">
        <v>101</v>
      </c>
      <c r="I111" s="211" t="s">
        <v>101</v>
      </c>
      <c r="J111" s="211" t="s">
        <v>101</v>
      </c>
      <c r="K111" s="211" t="s">
        <v>101</v>
      </c>
      <c r="L111" s="211" t="s">
        <v>101</v>
      </c>
    </row>
    <row r="112" spans="1:12" x14ac:dyDescent="0.2">
      <c r="A112" s="634"/>
      <c r="B112" s="110" t="s">
        <v>179</v>
      </c>
      <c r="C112" s="127"/>
      <c r="D112" s="212" t="s">
        <v>347</v>
      </c>
      <c r="E112" s="127" t="str">
        <f t="shared" si="1"/>
        <v>34 [new]</v>
      </c>
      <c r="F112" s="204"/>
      <c r="G112" s="212" t="s">
        <v>347</v>
      </c>
      <c r="H112" s="212" t="s">
        <v>347</v>
      </c>
      <c r="I112" s="212" t="s">
        <v>347</v>
      </c>
      <c r="J112" s="212" t="s">
        <v>347</v>
      </c>
      <c r="K112" s="212" t="s">
        <v>347</v>
      </c>
      <c r="L112" s="212" t="s">
        <v>347</v>
      </c>
    </row>
    <row r="113" spans="1:724" s="134" customFormat="1" x14ac:dyDescent="0.2">
      <c r="A113" s="634"/>
      <c r="B113" s="140" t="s">
        <v>180</v>
      </c>
      <c r="C113" s="141"/>
      <c r="D113" s="211" t="s">
        <v>347</v>
      </c>
      <c r="E113" s="141" t="str">
        <f t="shared" si="1"/>
        <v>34 [new]</v>
      </c>
      <c r="F113" s="205"/>
      <c r="G113" s="211" t="s">
        <v>347</v>
      </c>
      <c r="H113" s="211" t="s">
        <v>347</v>
      </c>
      <c r="I113" s="211" t="s">
        <v>347</v>
      </c>
      <c r="J113" s="211" t="s">
        <v>347</v>
      </c>
      <c r="K113" s="211" t="s">
        <v>347</v>
      </c>
      <c r="L113" s="211" t="s">
        <v>347</v>
      </c>
    </row>
    <row r="114" spans="1:724" x14ac:dyDescent="0.2">
      <c r="A114" s="634"/>
      <c r="B114" s="110" t="s">
        <v>181</v>
      </c>
      <c r="C114" s="127"/>
      <c r="D114" s="212" t="s">
        <v>348</v>
      </c>
      <c r="E114" s="127" t="str">
        <f t="shared" si="1"/>
        <v>29 [new]</v>
      </c>
      <c r="F114" s="204"/>
      <c r="G114" s="212" t="s">
        <v>348</v>
      </c>
      <c r="H114" s="212" t="s">
        <v>348</v>
      </c>
      <c r="I114" s="212" t="s">
        <v>348</v>
      </c>
      <c r="J114" s="212" t="s">
        <v>348</v>
      </c>
      <c r="K114" s="212" t="s">
        <v>348</v>
      </c>
      <c r="L114" s="212" t="s">
        <v>348</v>
      </c>
    </row>
    <row r="115" spans="1:724" s="134" customFormat="1" x14ac:dyDescent="0.2">
      <c r="A115" s="634"/>
      <c r="B115" s="135" t="s">
        <v>182</v>
      </c>
      <c r="C115" s="136"/>
      <c r="D115" s="211" t="s">
        <v>348</v>
      </c>
      <c r="E115" s="136" t="str">
        <f t="shared" si="1"/>
        <v>29 [new]</v>
      </c>
      <c r="F115" s="205"/>
      <c r="G115" s="211" t="s">
        <v>348</v>
      </c>
      <c r="H115" s="211" t="s">
        <v>348</v>
      </c>
      <c r="I115" s="211" t="s">
        <v>348</v>
      </c>
      <c r="J115" s="211" t="s">
        <v>348</v>
      </c>
      <c r="K115" s="211" t="s">
        <v>348</v>
      </c>
      <c r="L115" s="211" t="s">
        <v>348</v>
      </c>
    </row>
    <row r="116" spans="1:724" x14ac:dyDescent="0.2">
      <c r="A116" s="634"/>
      <c r="B116" s="111" t="s">
        <v>183</v>
      </c>
      <c r="C116" s="128"/>
      <c r="D116" s="212" t="s">
        <v>348</v>
      </c>
      <c r="E116" s="128" t="str">
        <f t="shared" si="1"/>
        <v>29 [new]</v>
      </c>
      <c r="F116" s="204"/>
      <c r="G116" s="212" t="s">
        <v>348</v>
      </c>
      <c r="H116" s="212" t="s">
        <v>348</v>
      </c>
      <c r="I116" s="212" t="s">
        <v>348</v>
      </c>
      <c r="J116" s="212" t="s">
        <v>348</v>
      </c>
      <c r="K116" s="212" t="s">
        <v>348</v>
      </c>
      <c r="L116" s="212" t="s">
        <v>348</v>
      </c>
    </row>
    <row r="117" spans="1:724" s="134" customFormat="1" ht="12.75" customHeight="1" x14ac:dyDescent="0.2">
      <c r="A117" s="634"/>
      <c r="B117" s="140" t="s">
        <v>184</v>
      </c>
      <c r="C117" s="146"/>
      <c r="D117" s="211" t="s">
        <v>348</v>
      </c>
      <c r="E117" s="146" t="str">
        <f>D117</f>
        <v>29 [new]</v>
      </c>
      <c r="F117" s="205"/>
      <c r="G117" s="211" t="s">
        <v>348</v>
      </c>
      <c r="H117" s="211" t="s">
        <v>348</v>
      </c>
      <c r="I117" s="211" t="s">
        <v>348</v>
      </c>
      <c r="J117" s="211" t="s">
        <v>348</v>
      </c>
      <c r="K117" s="211" t="s">
        <v>348</v>
      </c>
      <c r="L117" s="211" t="s">
        <v>348</v>
      </c>
    </row>
    <row r="118" spans="1:724" s="109" customFormat="1" ht="6" customHeight="1" x14ac:dyDescent="0.2">
      <c r="A118" s="107"/>
      <c r="B118" s="108"/>
      <c r="C118" s="108"/>
      <c r="D118" s="213"/>
      <c r="E118" s="108"/>
      <c r="F118" s="206"/>
      <c r="G118" s="213"/>
      <c r="H118" s="213"/>
      <c r="I118" s="213"/>
      <c r="J118" s="213"/>
      <c r="K118" s="213"/>
      <c r="L118" s="213"/>
    </row>
    <row r="119" spans="1:724" s="134" customFormat="1" x14ac:dyDescent="0.2">
      <c r="A119" s="633" t="s">
        <v>481</v>
      </c>
      <c r="B119" s="269" t="s">
        <v>461</v>
      </c>
      <c r="C119" s="128"/>
      <c r="D119" s="212" t="s">
        <v>475</v>
      </c>
      <c r="E119" s="128" t="str">
        <f t="shared" ref="E119:E120" si="2">D119</f>
        <v>9.3F-7.5R</v>
      </c>
      <c r="F119" s="204"/>
      <c r="G119" s="212" t="s">
        <v>475</v>
      </c>
      <c r="H119" s="212" t="s">
        <v>475</v>
      </c>
      <c r="I119" s="212" t="s">
        <v>475</v>
      </c>
      <c r="J119" s="212" t="s">
        <v>475</v>
      </c>
      <c r="K119" s="212" t="s">
        <v>475</v>
      </c>
      <c r="L119" s="212" t="s">
        <v>475</v>
      </c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</row>
    <row r="120" spans="1:724" s="134" customFormat="1" x14ac:dyDescent="0.2">
      <c r="A120" s="634"/>
      <c r="B120" s="270" t="s">
        <v>468</v>
      </c>
      <c r="C120" s="146"/>
      <c r="D120" s="271" t="str">
        <f>VLOOKUP(D119,Options!$AM$4:$AN$10,2,FALSE)</f>
        <v>(Set 1)</v>
      </c>
      <c r="E120" s="146" t="str">
        <f t="shared" si="2"/>
        <v>(Set 1)</v>
      </c>
      <c r="F120" s="205"/>
      <c r="G120" s="271" t="s">
        <v>471</v>
      </c>
      <c r="H120" s="271" t="s">
        <v>471</v>
      </c>
      <c r="I120" s="271" t="s">
        <v>471</v>
      </c>
      <c r="J120" s="271" t="s">
        <v>471</v>
      </c>
      <c r="K120" s="271" t="s">
        <v>471</v>
      </c>
      <c r="L120" s="271" t="s">
        <v>471</v>
      </c>
    </row>
    <row r="121" spans="1:724" s="134" customFormat="1" x14ac:dyDescent="0.2">
      <c r="A121" s="634"/>
      <c r="B121" s="269" t="s">
        <v>480</v>
      </c>
      <c r="C121" s="128"/>
      <c r="D121" s="272">
        <f>VLOOKUP(D119,Options!$AM$4:$AO$10,3,FALSE)</f>
        <v>52.4</v>
      </c>
      <c r="E121" s="128">
        <f t="shared" ref="E121" si="3">D121</f>
        <v>52.4</v>
      </c>
      <c r="F121" s="204"/>
      <c r="G121" s="272">
        <v>52.4</v>
      </c>
      <c r="H121" s="272">
        <v>52.4</v>
      </c>
      <c r="I121" s="272">
        <v>52.4</v>
      </c>
      <c r="J121" s="272">
        <v>52.4</v>
      </c>
      <c r="K121" s="272">
        <v>52.4</v>
      </c>
      <c r="L121" s="272">
        <v>52.4</v>
      </c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</row>
    <row r="122" spans="1:724" s="109" customFormat="1" ht="6" customHeight="1" x14ac:dyDescent="0.2">
      <c r="A122" s="107"/>
      <c r="B122" s="108"/>
      <c r="C122" s="108"/>
      <c r="D122" s="213"/>
      <c r="E122" s="108"/>
      <c r="F122" s="206"/>
      <c r="G122" s="213"/>
      <c r="H122" s="213"/>
      <c r="I122" s="213"/>
      <c r="J122" s="213"/>
      <c r="K122" s="213"/>
      <c r="L122" s="213"/>
    </row>
    <row r="123" spans="1:724" x14ac:dyDescent="0.2">
      <c r="A123" s="632" t="s">
        <v>18</v>
      </c>
      <c r="B123" s="106" t="s">
        <v>186</v>
      </c>
      <c r="C123" s="124" t="s">
        <v>245</v>
      </c>
      <c r="D123" s="212" t="s">
        <v>103</v>
      </c>
      <c r="E123" s="124" t="str">
        <f t="shared" si="1"/>
        <v>Alcon CAR8949Y/ZG</v>
      </c>
      <c r="F123" s="204"/>
      <c r="G123" s="212" t="s">
        <v>103</v>
      </c>
      <c r="H123" s="212" t="s">
        <v>103</v>
      </c>
      <c r="I123" s="212" t="s">
        <v>103</v>
      </c>
      <c r="J123" s="212" t="s">
        <v>103</v>
      </c>
      <c r="K123" s="212" t="s">
        <v>103</v>
      </c>
      <c r="L123" s="212" t="s">
        <v>103</v>
      </c>
    </row>
    <row r="124" spans="1:724" s="134" customFormat="1" x14ac:dyDescent="0.2">
      <c r="A124" s="632"/>
      <c r="B124" s="132" t="s">
        <v>187</v>
      </c>
      <c r="C124" s="133"/>
      <c r="D124" s="211" t="s">
        <v>464</v>
      </c>
      <c r="E124" s="133" t="str">
        <f t="shared" si="1"/>
        <v>7/8" (22.225mm)</v>
      </c>
      <c r="F124" s="205"/>
      <c r="G124" s="211" t="s">
        <v>464</v>
      </c>
      <c r="H124" s="211" t="s">
        <v>464</v>
      </c>
      <c r="I124" s="211" t="s">
        <v>464</v>
      </c>
      <c r="J124" s="211" t="s">
        <v>464</v>
      </c>
      <c r="K124" s="211" t="s">
        <v>464</v>
      </c>
      <c r="L124" s="211" t="s">
        <v>464</v>
      </c>
    </row>
    <row r="125" spans="1:724" x14ac:dyDescent="0.2">
      <c r="A125" s="632"/>
      <c r="B125" s="121" t="s">
        <v>241</v>
      </c>
      <c r="C125" s="129"/>
      <c r="D125" s="212" t="s">
        <v>102</v>
      </c>
      <c r="E125" s="129" t="str">
        <f t="shared" si="1"/>
        <v>Alcon 10049/50</v>
      </c>
      <c r="F125" s="204"/>
      <c r="G125" s="212" t="s">
        <v>102</v>
      </c>
      <c r="H125" s="212" t="s">
        <v>102</v>
      </c>
      <c r="I125" s="212" t="s">
        <v>102</v>
      </c>
      <c r="J125" s="212" t="s">
        <v>102</v>
      </c>
      <c r="K125" s="212" t="s">
        <v>102</v>
      </c>
      <c r="L125" s="212" t="s">
        <v>102</v>
      </c>
    </row>
    <row r="126" spans="1:724" s="134" customFormat="1" x14ac:dyDescent="0.2">
      <c r="A126" s="632"/>
      <c r="B126" s="145" t="s">
        <v>242</v>
      </c>
      <c r="C126" s="138"/>
      <c r="D126" s="211" t="s">
        <v>101</v>
      </c>
      <c r="E126" s="138" t="str">
        <f t="shared" si="1"/>
        <v>Endless RCP11</v>
      </c>
      <c r="F126" s="205"/>
      <c r="G126" s="211" t="s">
        <v>101</v>
      </c>
      <c r="H126" s="211" t="s">
        <v>101</v>
      </c>
      <c r="I126" s="211" t="s">
        <v>101</v>
      </c>
      <c r="J126" s="211" t="s">
        <v>101</v>
      </c>
      <c r="K126" s="211" t="s">
        <v>101</v>
      </c>
      <c r="L126" s="211" t="s">
        <v>101</v>
      </c>
    </row>
    <row r="127" spans="1:724" x14ac:dyDescent="0.2">
      <c r="A127" s="632"/>
      <c r="B127" s="113" t="s">
        <v>188</v>
      </c>
      <c r="C127" s="129"/>
      <c r="D127" s="212" t="s">
        <v>347</v>
      </c>
      <c r="E127" s="129" t="str">
        <f t="shared" si="1"/>
        <v>34 [new]</v>
      </c>
      <c r="F127" s="204"/>
      <c r="G127" s="212" t="s">
        <v>347</v>
      </c>
      <c r="H127" s="212" t="s">
        <v>347</v>
      </c>
      <c r="I127" s="212" t="s">
        <v>347</v>
      </c>
      <c r="J127" s="212" t="s">
        <v>347</v>
      </c>
      <c r="K127" s="212" t="s">
        <v>347</v>
      </c>
      <c r="L127" s="212" t="s">
        <v>347</v>
      </c>
    </row>
    <row r="128" spans="1:724" s="134" customFormat="1" x14ac:dyDescent="0.2">
      <c r="A128" s="632"/>
      <c r="B128" s="142" t="s">
        <v>189</v>
      </c>
      <c r="C128" s="143"/>
      <c r="D128" s="211" t="s">
        <v>347</v>
      </c>
      <c r="E128" s="143" t="str">
        <f t="shared" si="1"/>
        <v>34 [new]</v>
      </c>
      <c r="F128" s="205"/>
      <c r="G128" s="211" t="s">
        <v>347</v>
      </c>
      <c r="H128" s="211" t="s">
        <v>347</v>
      </c>
      <c r="I128" s="211" t="s">
        <v>347</v>
      </c>
      <c r="J128" s="211" t="s">
        <v>347</v>
      </c>
      <c r="K128" s="211" t="s">
        <v>347</v>
      </c>
      <c r="L128" s="211" t="s">
        <v>347</v>
      </c>
    </row>
    <row r="129" spans="1:12" x14ac:dyDescent="0.2">
      <c r="A129" s="632"/>
      <c r="B129" s="113" t="s">
        <v>190</v>
      </c>
      <c r="C129" s="129"/>
      <c r="D129" s="212" t="s">
        <v>348</v>
      </c>
      <c r="E129" s="129" t="str">
        <f t="shared" si="1"/>
        <v>29 [new]</v>
      </c>
      <c r="F129" s="204"/>
      <c r="G129" s="212" t="s">
        <v>348</v>
      </c>
      <c r="H129" s="212" t="s">
        <v>348</v>
      </c>
      <c r="I129" s="212" t="s">
        <v>348</v>
      </c>
      <c r="J129" s="212" t="s">
        <v>348</v>
      </c>
      <c r="K129" s="212" t="s">
        <v>348</v>
      </c>
      <c r="L129" s="212" t="s">
        <v>348</v>
      </c>
    </row>
    <row r="130" spans="1:12" s="134" customFormat="1" x14ac:dyDescent="0.2">
      <c r="A130" s="632"/>
      <c r="B130" s="137" t="s">
        <v>191</v>
      </c>
      <c r="C130" s="138"/>
      <c r="D130" s="211" t="s">
        <v>348</v>
      </c>
      <c r="E130" s="138" t="str">
        <f t="shared" si="1"/>
        <v>29 [new]</v>
      </c>
      <c r="F130" s="205"/>
      <c r="G130" s="211" t="s">
        <v>348</v>
      </c>
      <c r="H130" s="211" t="s">
        <v>348</v>
      </c>
      <c r="I130" s="211" t="s">
        <v>348</v>
      </c>
      <c r="J130" s="211" t="s">
        <v>348</v>
      </c>
      <c r="K130" s="211" t="s">
        <v>348</v>
      </c>
      <c r="L130" s="211" t="s">
        <v>348</v>
      </c>
    </row>
    <row r="131" spans="1:12" x14ac:dyDescent="0.2">
      <c r="A131" s="632"/>
      <c r="B131" s="112" t="s">
        <v>192</v>
      </c>
      <c r="C131" s="130"/>
      <c r="D131" s="212" t="s">
        <v>348</v>
      </c>
      <c r="E131" s="130" t="str">
        <f t="shared" si="1"/>
        <v>29 [new]</v>
      </c>
      <c r="F131" s="204"/>
      <c r="G131" s="212" t="s">
        <v>348</v>
      </c>
      <c r="H131" s="212" t="s">
        <v>348</v>
      </c>
      <c r="I131" s="212" t="s">
        <v>348</v>
      </c>
      <c r="J131" s="212" t="s">
        <v>348</v>
      </c>
      <c r="K131" s="212" t="s">
        <v>348</v>
      </c>
      <c r="L131" s="212" t="s">
        <v>348</v>
      </c>
    </row>
    <row r="132" spans="1:12" s="134" customFormat="1" x14ac:dyDescent="0.2">
      <c r="A132" s="632"/>
      <c r="B132" s="142" t="s">
        <v>193</v>
      </c>
      <c r="C132" s="144"/>
      <c r="D132" s="211" t="s">
        <v>348</v>
      </c>
      <c r="E132" s="144" t="str">
        <f t="shared" si="1"/>
        <v>29 [new]</v>
      </c>
      <c r="F132" s="205"/>
      <c r="G132" s="211" t="s">
        <v>348</v>
      </c>
      <c r="H132" s="211" t="s">
        <v>348</v>
      </c>
      <c r="I132" s="211" t="s">
        <v>348</v>
      </c>
      <c r="J132" s="211" t="s">
        <v>348</v>
      </c>
      <c r="K132" s="211" t="s">
        <v>348</v>
      </c>
      <c r="L132" s="211" t="s">
        <v>348</v>
      </c>
    </row>
    <row r="133" spans="1:12" s="109" customFormat="1" ht="6" customHeight="1" x14ac:dyDescent="0.2">
      <c r="A133" s="107"/>
      <c r="B133" s="108"/>
      <c r="C133" s="108"/>
      <c r="D133" s="213"/>
      <c r="E133" s="108"/>
      <c r="F133" s="206"/>
      <c r="G133" s="213"/>
      <c r="H133" s="213"/>
      <c r="I133" s="213"/>
      <c r="J133" s="213"/>
      <c r="K133" s="213"/>
      <c r="L133" s="213"/>
    </row>
    <row r="134" spans="1:12" x14ac:dyDescent="0.2">
      <c r="A134" s="632" t="s">
        <v>49</v>
      </c>
      <c r="B134" s="110" t="s">
        <v>194</v>
      </c>
      <c r="C134" s="131"/>
      <c r="D134" s="212" t="s">
        <v>31</v>
      </c>
      <c r="E134" s="131" t="str">
        <f t="shared" si="1"/>
        <v>none</v>
      </c>
      <c r="F134" s="204"/>
      <c r="G134" s="212" t="s">
        <v>31</v>
      </c>
      <c r="H134" s="212" t="s">
        <v>31</v>
      </c>
      <c r="I134" s="212" t="s">
        <v>31</v>
      </c>
      <c r="J134" s="212" t="s">
        <v>31</v>
      </c>
      <c r="K134" s="212" t="s">
        <v>31</v>
      </c>
      <c r="L134" s="212" t="s">
        <v>31</v>
      </c>
    </row>
    <row r="135" spans="1:12" s="134" customFormat="1" x14ac:dyDescent="0.2">
      <c r="A135" s="632"/>
      <c r="B135" s="140" t="s">
        <v>195</v>
      </c>
      <c r="C135" s="141"/>
      <c r="D135" s="211" t="s">
        <v>31</v>
      </c>
      <c r="E135" s="141" t="str">
        <f t="shared" si="1"/>
        <v>none</v>
      </c>
      <c r="F135" s="205"/>
      <c r="G135" s="211" t="s">
        <v>31</v>
      </c>
      <c r="H135" s="211" t="s">
        <v>31</v>
      </c>
      <c r="I135" s="211" t="s">
        <v>31</v>
      </c>
      <c r="J135" s="211" t="s">
        <v>31</v>
      </c>
      <c r="K135" s="211" t="s">
        <v>31</v>
      </c>
      <c r="L135" s="211" t="s">
        <v>31</v>
      </c>
    </row>
    <row r="136" spans="1:12" x14ac:dyDescent="0.2">
      <c r="A136" s="632"/>
      <c r="B136" s="113" t="s">
        <v>196</v>
      </c>
      <c r="C136" s="125"/>
      <c r="D136" s="212" t="s">
        <v>337</v>
      </c>
      <c r="E136" s="125" t="str">
        <f t="shared" si="1"/>
        <v>CRB-B2-056</v>
      </c>
      <c r="F136" s="204"/>
      <c r="G136" s="212" t="s">
        <v>337</v>
      </c>
      <c r="H136" s="212" t="s">
        <v>337</v>
      </c>
      <c r="I136" s="212" t="s">
        <v>337</v>
      </c>
      <c r="J136" s="212" t="s">
        <v>337</v>
      </c>
      <c r="K136" s="212" t="s">
        <v>337</v>
      </c>
      <c r="L136" s="212" t="s">
        <v>337</v>
      </c>
    </row>
    <row r="137" spans="1:12" s="134" customFormat="1" x14ac:dyDescent="0.2">
      <c r="A137" s="632"/>
      <c r="B137" s="142" t="s">
        <v>197</v>
      </c>
      <c r="C137" s="143"/>
      <c r="D137" s="211" t="s">
        <v>336</v>
      </c>
      <c r="E137" s="143" t="str">
        <f t="shared" si="1"/>
        <v>CRB-B2-055</v>
      </c>
      <c r="F137" s="205"/>
      <c r="G137" s="211" t="s">
        <v>336</v>
      </c>
      <c r="H137" s="211" t="s">
        <v>336</v>
      </c>
      <c r="I137" s="211" t="s">
        <v>336</v>
      </c>
      <c r="J137" s="211" t="s">
        <v>336</v>
      </c>
      <c r="K137" s="211" t="s">
        <v>336</v>
      </c>
      <c r="L137" s="211" t="s">
        <v>336</v>
      </c>
    </row>
    <row r="138" spans="1:12" x14ac:dyDescent="0.2">
      <c r="A138" s="632"/>
      <c r="B138" s="110" t="s">
        <v>198</v>
      </c>
      <c r="C138" s="127"/>
      <c r="D138" s="212" t="s">
        <v>31</v>
      </c>
      <c r="E138" s="127" t="str">
        <f t="shared" si="1"/>
        <v>none</v>
      </c>
      <c r="F138" s="204"/>
      <c r="G138" s="212" t="s">
        <v>31</v>
      </c>
      <c r="H138" s="212" t="s">
        <v>31</v>
      </c>
      <c r="I138" s="212" t="s">
        <v>31</v>
      </c>
      <c r="J138" s="212" t="s">
        <v>31</v>
      </c>
      <c r="K138" s="212" t="s">
        <v>31</v>
      </c>
      <c r="L138" s="212" t="s">
        <v>31</v>
      </c>
    </row>
    <row r="139" spans="1:12" s="134" customFormat="1" x14ac:dyDescent="0.2">
      <c r="A139" s="632"/>
      <c r="B139" s="140" t="s">
        <v>199</v>
      </c>
      <c r="C139" s="141"/>
      <c r="D139" s="211" t="s">
        <v>31</v>
      </c>
      <c r="E139" s="141" t="str">
        <f t="shared" ref="E139:E144" si="4">D139</f>
        <v>none</v>
      </c>
      <c r="F139" s="205"/>
      <c r="G139" s="211" t="s">
        <v>31</v>
      </c>
      <c r="H139" s="211" t="s">
        <v>31</v>
      </c>
      <c r="I139" s="211" t="s">
        <v>31</v>
      </c>
      <c r="J139" s="211" t="s">
        <v>31</v>
      </c>
      <c r="K139" s="211" t="s">
        <v>31</v>
      </c>
      <c r="L139" s="211" t="s">
        <v>31</v>
      </c>
    </row>
    <row r="140" spans="1:12" x14ac:dyDescent="0.2">
      <c r="A140" s="632"/>
      <c r="B140" s="113" t="s">
        <v>200</v>
      </c>
      <c r="C140" s="129"/>
      <c r="D140" s="212" t="s">
        <v>272</v>
      </c>
      <c r="E140" s="129" t="str">
        <f t="shared" si="4"/>
        <v>261 DZ</v>
      </c>
      <c r="F140" s="204"/>
      <c r="G140" s="212" t="s">
        <v>272</v>
      </c>
      <c r="H140" s="212" t="s">
        <v>272</v>
      </c>
      <c r="I140" s="212" t="s">
        <v>272</v>
      </c>
      <c r="J140" s="212" t="s">
        <v>272</v>
      </c>
      <c r="K140" s="212" t="s">
        <v>272</v>
      </c>
      <c r="L140" s="212" t="s">
        <v>272</v>
      </c>
    </row>
    <row r="141" spans="1:12" s="134" customFormat="1" x14ac:dyDescent="0.2">
      <c r="A141" s="632"/>
      <c r="B141" s="142" t="s">
        <v>201</v>
      </c>
      <c r="C141" s="143"/>
      <c r="D141" s="211" t="s">
        <v>267</v>
      </c>
      <c r="E141" s="143" t="str">
        <f t="shared" si="4"/>
        <v>256 DZ</v>
      </c>
      <c r="F141" s="205"/>
      <c r="G141" s="211" t="s">
        <v>267</v>
      </c>
      <c r="H141" s="211" t="s">
        <v>267</v>
      </c>
      <c r="I141" s="211" t="s">
        <v>267</v>
      </c>
      <c r="J141" s="211" t="s">
        <v>267</v>
      </c>
      <c r="K141" s="211" t="s">
        <v>267</v>
      </c>
      <c r="L141" s="211" t="s">
        <v>267</v>
      </c>
    </row>
    <row r="142" spans="1:12" x14ac:dyDescent="0.2">
      <c r="A142" s="632"/>
      <c r="B142" s="106" t="s">
        <v>202</v>
      </c>
      <c r="C142" s="125"/>
      <c r="D142" s="212" t="s">
        <v>31</v>
      </c>
      <c r="E142" s="125" t="str">
        <f t="shared" si="4"/>
        <v>none</v>
      </c>
      <c r="F142" s="204"/>
      <c r="G142" s="212" t="s">
        <v>31</v>
      </c>
      <c r="H142" s="212" t="s">
        <v>31</v>
      </c>
      <c r="I142" s="212" t="s">
        <v>31</v>
      </c>
      <c r="J142" s="212" t="s">
        <v>31</v>
      </c>
      <c r="K142" s="212" t="s">
        <v>31</v>
      </c>
      <c r="L142" s="212" t="s">
        <v>31</v>
      </c>
    </row>
    <row r="143" spans="1:12" s="134" customFormat="1" x14ac:dyDescent="0.2">
      <c r="A143" s="632"/>
      <c r="B143" s="132" t="s">
        <v>203</v>
      </c>
      <c r="C143" s="133"/>
      <c r="D143" s="211" t="s">
        <v>264</v>
      </c>
      <c r="E143" s="133" t="str">
        <f t="shared" si="4"/>
        <v>RRU-012</v>
      </c>
      <c r="F143" s="205"/>
      <c r="G143" s="211" t="s">
        <v>264</v>
      </c>
      <c r="H143" s="211" t="s">
        <v>264</v>
      </c>
      <c r="I143" s="211" t="s">
        <v>264</v>
      </c>
      <c r="J143" s="211" t="s">
        <v>264</v>
      </c>
      <c r="K143" s="211" t="s">
        <v>264</v>
      </c>
      <c r="L143" s="211" t="s">
        <v>264</v>
      </c>
    </row>
    <row r="144" spans="1:12" x14ac:dyDescent="0.2">
      <c r="A144" s="632"/>
      <c r="B144" s="106" t="s">
        <v>48</v>
      </c>
      <c r="C144" s="126"/>
      <c r="D144" s="212" t="s">
        <v>104</v>
      </c>
      <c r="E144" s="126" t="str">
        <f t="shared" si="4"/>
        <v>160616AB15174A</v>
      </c>
      <c r="F144" s="204"/>
      <c r="G144" s="212" t="s">
        <v>104</v>
      </c>
      <c r="H144" s="212" t="s">
        <v>104</v>
      </c>
      <c r="I144" s="212" t="s">
        <v>104</v>
      </c>
      <c r="J144" s="212" t="s">
        <v>104</v>
      </c>
      <c r="K144" s="212" t="s">
        <v>104</v>
      </c>
      <c r="L144" s="212" t="s">
        <v>104</v>
      </c>
    </row>
    <row r="145" spans="2:12" s="109" customFormat="1" ht="6" customHeight="1" x14ac:dyDescent="0.2">
      <c r="B145" s="108"/>
      <c r="C145" s="108"/>
      <c r="D145" s="115"/>
      <c r="E145" s="108"/>
      <c r="F145" s="206"/>
      <c r="G145" s="311"/>
      <c r="H145" s="311"/>
      <c r="I145" s="311"/>
      <c r="J145" s="311"/>
      <c r="K145" s="311"/>
      <c r="L145" s="311"/>
    </row>
  </sheetData>
  <sheetProtection formatCells="0" formatColumns="0" formatRows="0" insertColumns="0" insertRows="0"/>
  <mergeCells count="19">
    <mergeCell ref="A1:D2"/>
    <mergeCell ref="D6:D7"/>
    <mergeCell ref="D8:D9"/>
    <mergeCell ref="B8:B9"/>
    <mergeCell ref="B6:B7"/>
    <mergeCell ref="B4:B5"/>
    <mergeCell ref="A134:A144"/>
    <mergeCell ref="A97:A106"/>
    <mergeCell ref="A74:A88"/>
    <mergeCell ref="A90:A95"/>
    <mergeCell ref="A123:A132"/>
    <mergeCell ref="A108:A117"/>
    <mergeCell ref="A119:A121"/>
    <mergeCell ref="A58:A72"/>
    <mergeCell ref="A10:A18"/>
    <mergeCell ref="A20:A29"/>
    <mergeCell ref="A31:A42"/>
    <mergeCell ref="A44:A51"/>
    <mergeCell ref="A53:A56"/>
  </mergeCells>
  <conditionalFormatting sqref="D13 D95 D116">
    <cfRule type="cellIs" dxfId="900" priority="7878" operator="notEqual">
      <formula>E13</formula>
    </cfRule>
  </conditionalFormatting>
  <conditionalFormatting sqref="D10">
    <cfRule type="cellIs" dxfId="899" priority="7875" operator="notEqual">
      <formula>E10</formula>
    </cfRule>
  </conditionalFormatting>
  <conditionalFormatting sqref="D11">
    <cfRule type="cellIs" dxfId="898" priority="7874" operator="notEqual">
      <formula>E11</formula>
    </cfRule>
  </conditionalFormatting>
  <conditionalFormatting sqref="D12">
    <cfRule type="cellIs" dxfId="897" priority="7873" operator="notEqual">
      <formula>E12</formula>
    </cfRule>
  </conditionalFormatting>
  <conditionalFormatting sqref="D14">
    <cfRule type="cellIs" dxfId="896" priority="7872" operator="notEqual">
      <formula>E14</formula>
    </cfRule>
  </conditionalFormatting>
  <conditionalFormatting sqref="D15">
    <cfRule type="cellIs" dxfId="895" priority="7871" operator="notEqual">
      <formula>E15</formula>
    </cfRule>
  </conditionalFormatting>
  <conditionalFormatting sqref="D16">
    <cfRule type="cellIs" dxfId="894" priority="7870" operator="notEqual">
      <formula>E16</formula>
    </cfRule>
  </conditionalFormatting>
  <conditionalFormatting sqref="D17">
    <cfRule type="cellIs" dxfId="893" priority="7869" operator="notEqual">
      <formula>E17</formula>
    </cfRule>
  </conditionalFormatting>
  <conditionalFormatting sqref="D18">
    <cfRule type="cellIs" dxfId="892" priority="7868" operator="notEqual">
      <formula>E18</formula>
    </cfRule>
  </conditionalFormatting>
  <conditionalFormatting sqref="D20">
    <cfRule type="cellIs" dxfId="891" priority="7867" operator="notEqual">
      <formula>E20</formula>
    </cfRule>
  </conditionalFormatting>
  <conditionalFormatting sqref="D25">
    <cfRule type="cellIs" dxfId="890" priority="7862" operator="notEqual">
      <formula>E25</formula>
    </cfRule>
  </conditionalFormatting>
  <conditionalFormatting sqref="D26">
    <cfRule type="cellIs" dxfId="889" priority="7861" operator="notEqual">
      <formula>E26</formula>
    </cfRule>
  </conditionalFormatting>
  <conditionalFormatting sqref="D27">
    <cfRule type="cellIs" dxfId="888" priority="7860" operator="notEqual">
      <formula>E27</formula>
    </cfRule>
  </conditionalFormatting>
  <conditionalFormatting sqref="D28">
    <cfRule type="cellIs" dxfId="887" priority="7859" operator="notEqual">
      <formula>E28</formula>
    </cfRule>
  </conditionalFormatting>
  <conditionalFormatting sqref="D29">
    <cfRule type="cellIs" dxfId="886" priority="7858" operator="notEqual">
      <formula>E29</formula>
    </cfRule>
  </conditionalFormatting>
  <conditionalFormatting sqref="D31">
    <cfRule type="cellIs" dxfId="885" priority="4792" operator="lessThan">
      <formula>17</formula>
    </cfRule>
    <cfRule type="cellIs" dxfId="884" priority="4794" operator="greaterThan">
      <formula>47</formula>
    </cfRule>
    <cfRule type="cellIs" dxfId="883" priority="7857" operator="notEqual">
      <formula>E31</formula>
    </cfRule>
  </conditionalFormatting>
  <conditionalFormatting sqref="D32">
    <cfRule type="cellIs" dxfId="882" priority="4791" operator="lessThan">
      <formula>17</formula>
    </cfRule>
    <cfRule type="cellIs" dxfId="881" priority="4793" operator="greaterThan">
      <formula>47</formula>
    </cfRule>
    <cfRule type="cellIs" dxfId="880" priority="7856" operator="notEqual">
      <formula>E32</formula>
    </cfRule>
  </conditionalFormatting>
  <conditionalFormatting sqref="D33">
    <cfRule type="cellIs" dxfId="879" priority="4788" operator="lessThan">
      <formula>21</formula>
    </cfRule>
    <cfRule type="cellIs" dxfId="878" priority="4790" operator="greaterThan">
      <formula>66</formula>
    </cfRule>
    <cfRule type="cellIs" dxfId="877" priority="7855" operator="notEqual">
      <formula>E33</formula>
    </cfRule>
  </conditionalFormatting>
  <conditionalFormatting sqref="D34">
    <cfRule type="cellIs" dxfId="876" priority="4787" operator="lessThan">
      <formula>21</formula>
    </cfRule>
    <cfRule type="cellIs" dxfId="875" priority="4789" operator="greaterThan">
      <formula>66</formula>
    </cfRule>
    <cfRule type="cellIs" dxfId="874" priority="7854" operator="notEqual">
      <formula>E34</formula>
    </cfRule>
  </conditionalFormatting>
  <conditionalFormatting sqref="D35">
    <cfRule type="cellIs" dxfId="873" priority="7853" operator="notEqual">
      <formula>E35</formula>
    </cfRule>
  </conditionalFormatting>
  <conditionalFormatting sqref="D36:D37">
    <cfRule type="cellIs" dxfId="872" priority="7852" operator="notEqual">
      <formula>D36</formula>
    </cfRule>
  </conditionalFormatting>
  <conditionalFormatting sqref="D38">
    <cfRule type="cellIs" dxfId="871" priority="4780" operator="greaterThan">
      <formula>385</formula>
    </cfRule>
    <cfRule type="cellIs" dxfId="870" priority="4783" operator="lessThan">
      <formula>340</formula>
    </cfRule>
    <cfRule type="cellIs" dxfId="869" priority="7850" operator="notEqual">
      <formula>E38</formula>
    </cfRule>
  </conditionalFormatting>
  <conditionalFormatting sqref="D39">
    <cfRule type="cellIs" dxfId="868" priority="7849" operator="notEqual">
      <formula>E39</formula>
    </cfRule>
  </conditionalFormatting>
  <conditionalFormatting sqref="D40">
    <cfRule type="cellIs" dxfId="867" priority="7848" operator="notEqual">
      <formula>E40</formula>
    </cfRule>
  </conditionalFormatting>
  <conditionalFormatting sqref="D41">
    <cfRule type="cellIs" dxfId="866" priority="7847" operator="notEqual">
      <formula>E41</formula>
    </cfRule>
  </conditionalFormatting>
  <conditionalFormatting sqref="D42">
    <cfRule type="cellIs" dxfId="865" priority="7846" operator="notEqual">
      <formula>E42</formula>
    </cfRule>
  </conditionalFormatting>
  <conditionalFormatting sqref="D44">
    <cfRule type="cellIs" dxfId="864" priority="4773" operator="greaterThan">
      <formula>-0.2</formula>
    </cfRule>
    <cfRule type="cellIs" dxfId="863" priority="4779" operator="lessThan">
      <formula>-6.4</formula>
    </cfRule>
    <cfRule type="cellIs" dxfId="862" priority="7845" operator="notEqual">
      <formula>E44</formula>
    </cfRule>
  </conditionalFormatting>
  <conditionalFormatting sqref="D45">
    <cfRule type="cellIs" dxfId="861" priority="4772" operator="greaterThan">
      <formula>-0.2</formula>
    </cfRule>
    <cfRule type="cellIs" dxfId="860" priority="4778" operator="lessThan">
      <formula>-6.4</formula>
    </cfRule>
    <cfRule type="cellIs" dxfId="859" priority="7844" operator="notEqual">
      <formula>E45</formula>
    </cfRule>
  </conditionalFormatting>
  <conditionalFormatting sqref="D46">
    <cfRule type="cellIs" dxfId="858" priority="4775" operator="greaterThan">
      <formula>-1</formula>
    </cfRule>
    <cfRule type="cellIs" dxfId="857" priority="4777" operator="lessThan">
      <formula>-2</formula>
    </cfRule>
    <cfRule type="cellIs" dxfId="856" priority="7843" operator="notEqual">
      <formula>E46</formula>
    </cfRule>
  </conditionalFormatting>
  <conditionalFormatting sqref="D47">
    <cfRule type="cellIs" dxfId="855" priority="4774" operator="greaterThan">
      <formula>-1</formula>
    </cfRule>
    <cfRule type="cellIs" dxfId="854" priority="4776" operator="lessThan">
      <formula>-2</formula>
    </cfRule>
    <cfRule type="cellIs" dxfId="853" priority="7842" operator="notEqual">
      <formula>E47</formula>
    </cfRule>
  </conditionalFormatting>
  <conditionalFormatting sqref="D48">
    <cfRule type="cellIs" dxfId="852" priority="4771" operator="greaterThan">
      <formula>28.5</formula>
    </cfRule>
    <cfRule type="cellIs" dxfId="851" priority="7841" operator="notEqual">
      <formula>E48</formula>
    </cfRule>
  </conditionalFormatting>
  <conditionalFormatting sqref="D49">
    <cfRule type="cellIs" dxfId="850" priority="4770" operator="greaterThan">
      <formula>28.5</formula>
    </cfRule>
    <cfRule type="cellIs" dxfId="849" priority="7840" operator="notEqual">
      <formula>E49</formula>
    </cfRule>
  </conditionalFormatting>
  <conditionalFormatting sqref="D50">
    <cfRule type="cellIs" dxfId="848" priority="4769" operator="greaterThan">
      <formula>6.5</formula>
    </cfRule>
    <cfRule type="cellIs" dxfId="847" priority="7839" operator="notEqual">
      <formula>E50</formula>
    </cfRule>
  </conditionalFormatting>
  <conditionalFormatting sqref="D51">
    <cfRule type="cellIs" dxfId="846" priority="4768" operator="greaterThan">
      <formula>6.5</formula>
    </cfRule>
    <cfRule type="cellIs" dxfId="845" priority="7838" operator="notEqual">
      <formula>E51</formula>
    </cfRule>
  </conditionalFormatting>
  <conditionalFormatting sqref="D53">
    <cfRule type="cellIs" dxfId="844" priority="7837" operator="notEqual">
      <formula>E53</formula>
    </cfRule>
  </conditionalFormatting>
  <conditionalFormatting sqref="D54">
    <cfRule type="cellIs" dxfId="843" priority="7836" operator="notEqual">
      <formula>E54</formula>
    </cfRule>
  </conditionalFormatting>
  <conditionalFormatting sqref="D55">
    <cfRule type="cellIs" dxfId="842" priority="7835" operator="notEqual">
      <formula>E55</formula>
    </cfRule>
  </conditionalFormatting>
  <conditionalFormatting sqref="D56">
    <cfRule type="cellIs" dxfId="841" priority="7834" operator="notEqual">
      <formula>E56</formula>
    </cfRule>
  </conditionalFormatting>
  <conditionalFormatting sqref="D58">
    <cfRule type="cellIs" dxfId="840" priority="7833" operator="notEqual">
      <formula>E58</formula>
    </cfRule>
  </conditionalFormatting>
  <conditionalFormatting sqref="D59">
    <cfRule type="cellIs" dxfId="839" priority="7832" operator="notEqual">
      <formula>E59</formula>
    </cfRule>
  </conditionalFormatting>
  <conditionalFormatting sqref="D61">
    <cfRule type="cellIs" dxfId="838" priority="7830" operator="notEqual">
      <formula>E61</formula>
    </cfRule>
  </conditionalFormatting>
  <conditionalFormatting sqref="D62">
    <cfRule type="cellIs" dxfId="837" priority="7829" operator="notEqual">
      <formula>E62</formula>
    </cfRule>
  </conditionalFormatting>
  <conditionalFormatting sqref="D63">
    <cfRule type="cellIs" dxfId="836" priority="7828" operator="notEqual">
      <formula>E63</formula>
    </cfRule>
  </conditionalFormatting>
  <conditionalFormatting sqref="D64">
    <cfRule type="cellIs" dxfId="835" priority="7827" operator="notEqual">
      <formula>E64</formula>
    </cfRule>
  </conditionalFormatting>
  <conditionalFormatting sqref="D65">
    <cfRule type="cellIs" dxfId="834" priority="7826" operator="notEqual">
      <formula>E65</formula>
    </cfRule>
  </conditionalFormatting>
  <conditionalFormatting sqref="D66">
    <cfRule type="cellIs" dxfId="833" priority="7825" operator="notEqual">
      <formula>E66</formula>
    </cfRule>
  </conditionalFormatting>
  <conditionalFormatting sqref="D67">
    <cfRule type="cellIs" dxfId="832" priority="7824" operator="notEqual">
      <formula>E67</formula>
    </cfRule>
  </conditionalFormatting>
  <conditionalFormatting sqref="D68">
    <cfRule type="cellIs" dxfId="831" priority="7823" operator="notEqual">
      <formula>E68</formula>
    </cfRule>
  </conditionalFormatting>
  <conditionalFormatting sqref="D69">
    <cfRule type="cellIs" dxfId="830" priority="7822" operator="notEqual">
      <formula>E69</formula>
    </cfRule>
  </conditionalFormatting>
  <conditionalFormatting sqref="D70">
    <cfRule type="cellIs" dxfId="829" priority="7821" operator="notEqual">
      <formula>E70</formula>
    </cfRule>
  </conditionalFormatting>
  <conditionalFormatting sqref="D71">
    <cfRule type="cellIs" dxfId="828" priority="7820" operator="notEqual">
      <formula>E71</formula>
    </cfRule>
  </conditionalFormatting>
  <conditionalFormatting sqref="D72">
    <cfRule type="cellIs" dxfId="827" priority="7819" operator="notEqual">
      <formula>E72</formula>
    </cfRule>
  </conditionalFormatting>
  <conditionalFormatting sqref="D74">
    <cfRule type="cellIs" dxfId="826" priority="7818" operator="notEqual">
      <formula>E74</formula>
    </cfRule>
  </conditionalFormatting>
  <conditionalFormatting sqref="D75">
    <cfRule type="cellIs" dxfId="825" priority="7817" operator="notEqual">
      <formula>E75</formula>
    </cfRule>
  </conditionalFormatting>
  <conditionalFormatting sqref="D76">
    <cfRule type="cellIs" dxfId="824" priority="7816" operator="notEqual">
      <formula>E76</formula>
    </cfRule>
  </conditionalFormatting>
  <conditionalFormatting sqref="D77">
    <cfRule type="cellIs" dxfId="823" priority="7815" operator="notEqual">
      <formula>E77</formula>
    </cfRule>
  </conditionalFormatting>
  <conditionalFormatting sqref="D78">
    <cfRule type="cellIs" dxfId="822" priority="7814" operator="notEqual">
      <formula>E78</formula>
    </cfRule>
  </conditionalFormatting>
  <conditionalFormatting sqref="D79">
    <cfRule type="cellIs" dxfId="821" priority="7813" operator="notEqual">
      <formula>E79</formula>
    </cfRule>
  </conditionalFormatting>
  <conditionalFormatting sqref="D80">
    <cfRule type="cellIs" dxfId="820" priority="7812" operator="notEqual">
      <formula>E80</formula>
    </cfRule>
  </conditionalFormatting>
  <conditionalFormatting sqref="D81">
    <cfRule type="cellIs" dxfId="819" priority="7811" operator="notEqual">
      <formula>E81</formula>
    </cfRule>
  </conditionalFormatting>
  <conditionalFormatting sqref="D82">
    <cfRule type="cellIs" dxfId="818" priority="7810" operator="notEqual">
      <formula>E82</formula>
    </cfRule>
  </conditionalFormatting>
  <conditionalFormatting sqref="D83">
    <cfRule type="cellIs" dxfId="817" priority="7809" operator="notEqual">
      <formula>E83</formula>
    </cfRule>
  </conditionalFormatting>
  <conditionalFormatting sqref="D84">
    <cfRule type="cellIs" dxfId="816" priority="7808" operator="notEqual">
      <formula>E84</formula>
    </cfRule>
  </conditionalFormatting>
  <conditionalFormatting sqref="D85">
    <cfRule type="cellIs" dxfId="815" priority="7807" operator="notEqual">
      <formula>E85</formula>
    </cfRule>
  </conditionalFormatting>
  <conditionalFormatting sqref="D86">
    <cfRule type="cellIs" dxfId="814" priority="7806" operator="notEqual">
      <formula>E86</formula>
    </cfRule>
  </conditionalFormatting>
  <conditionalFormatting sqref="D87">
    <cfRule type="cellIs" dxfId="813" priority="7805" operator="notEqual">
      <formula>E87</formula>
    </cfRule>
  </conditionalFormatting>
  <conditionalFormatting sqref="D88">
    <cfRule type="cellIs" dxfId="812" priority="7804" operator="notEqual">
      <formula>E88</formula>
    </cfRule>
  </conditionalFormatting>
  <conditionalFormatting sqref="D90">
    <cfRule type="cellIs" dxfId="811" priority="7803" operator="notEqual">
      <formula>E90</formula>
    </cfRule>
  </conditionalFormatting>
  <conditionalFormatting sqref="D91">
    <cfRule type="cellIs" dxfId="810" priority="7802" operator="notEqual">
      <formula>E91</formula>
    </cfRule>
  </conditionalFormatting>
  <conditionalFormatting sqref="D92">
    <cfRule type="cellIs" dxfId="809" priority="7801" operator="notEqual">
      <formula>E92</formula>
    </cfRule>
  </conditionalFormatting>
  <conditionalFormatting sqref="D93">
    <cfRule type="cellIs" dxfId="808" priority="7800" operator="notEqual">
      <formula>E93</formula>
    </cfRule>
  </conditionalFormatting>
  <conditionalFormatting sqref="D94">
    <cfRule type="cellIs" dxfId="807" priority="7799" operator="notEqual">
      <formula>E94</formula>
    </cfRule>
  </conditionalFormatting>
  <conditionalFormatting sqref="D97">
    <cfRule type="cellIs" dxfId="806" priority="7793" operator="notEqual">
      <formula>E97</formula>
    </cfRule>
  </conditionalFormatting>
  <conditionalFormatting sqref="D98">
    <cfRule type="cellIs" dxfId="805" priority="7792" operator="notEqual">
      <formula>E98</formula>
    </cfRule>
  </conditionalFormatting>
  <conditionalFormatting sqref="D99">
    <cfRule type="cellIs" dxfId="804" priority="7791" operator="notEqual">
      <formula>E99</formula>
    </cfRule>
  </conditionalFormatting>
  <conditionalFormatting sqref="D100">
    <cfRule type="cellIs" dxfId="803" priority="7790" operator="notEqual">
      <formula>E100</formula>
    </cfRule>
  </conditionalFormatting>
  <conditionalFormatting sqref="D101">
    <cfRule type="cellIs" dxfId="802" priority="7789" operator="notEqual">
      <formula>E101</formula>
    </cfRule>
  </conditionalFormatting>
  <conditionalFormatting sqref="D102">
    <cfRule type="cellIs" dxfId="801" priority="7788" operator="notEqual">
      <formula>E102</formula>
    </cfRule>
  </conditionalFormatting>
  <conditionalFormatting sqref="D103">
    <cfRule type="cellIs" dxfId="800" priority="7787" operator="notEqual">
      <formula>E103</formula>
    </cfRule>
  </conditionalFormatting>
  <conditionalFormatting sqref="D104">
    <cfRule type="cellIs" dxfId="799" priority="7786" operator="notEqual">
      <formula>E104</formula>
    </cfRule>
  </conditionalFormatting>
  <conditionalFormatting sqref="D105">
    <cfRule type="cellIs" dxfId="798" priority="7785" operator="notEqual">
      <formula>E105</formula>
    </cfRule>
  </conditionalFormatting>
  <conditionalFormatting sqref="D106">
    <cfRule type="cellIs" dxfId="797" priority="7784" operator="notEqual">
      <formula>E106</formula>
    </cfRule>
  </conditionalFormatting>
  <conditionalFormatting sqref="D108">
    <cfRule type="cellIs" dxfId="796" priority="7783" operator="notEqual">
      <formula>E108</formula>
    </cfRule>
  </conditionalFormatting>
  <conditionalFormatting sqref="D109">
    <cfRule type="cellIs" dxfId="795" priority="7782" operator="notEqual">
      <formula>E109</formula>
    </cfRule>
  </conditionalFormatting>
  <conditionalFormatting sqref="D110">
    <cfRule type="cellIs" dxfId="794" priority="7781" operator="notEqual">
      <formula>E110</formula>
    </cfRule>
  </conditionalFormatting>
  <conditionalFormatting sqref="D111">
    <cfRule type="cellIs" dxfId="793" priority="7780" operator="notEqual">
      <formula>E111</formula>
    </cfRule>
  </conditionalFormatting>
  <conditionalFormatting sqref="D112">
    <cfRule type="cellIs" dxfId="792" priority="7779" operator="notEqual">
      <formula>E112</formula>
    </cfRule>
  </conditionalFormatting>
  <conditionalFormatting sqref="D113">
    <cfRule type="cellIs" dxfId="791" priority="7778" operator="notEqual">
      <formula>E113</formula>
    </cfRule>
  </conditionalFormatting>
  <conditionalFormatting sqref="D114">
    <cfRule type="cellIs" dxfId="790" priority="7777" operator="notEqual">
      <formula>E114</formula>
    </cfRule>
  </conditionalFormatting>
  <conditionalFormatting sqref="D115">
    <cfRule type="cellIs" dxfId="789" priority="7776" operator="notEqual">
      <formula>E115</formula>
    </cfRule>
  </conditionalFormatting>
  <conditionalFormatting sqref="D117">
    <cfRule type="cellIs" dxfId="788" priority="7774" operator="notEqual">
      <formula>E117</formula>
    </cfRule>
  </conditionalFormatting>
  <conditionalFormatting sqref="D123">
    <cfRule type="cellIs" dxfId="787" priority="7773" operator="notEqual">
      <formula>E123</formula>
    </cfRule>
  </conditionalFormatting>
  <conditionalFormatting sqref="D124">
    <cfRule type="cellIs" dxfId="786" priority="7772" operator="notEqual">
      <formula>E124</formula>
    </cfRule>
  </conditionalFormatting>
  <conditionalFormatting sqref="D125">
    <cfRule type="cellIs" dxfId="785" priority="7771" operator="notEqual">
      <formula>E125</formula>
    </cfRule>
  </conditionalFormatting>
  <conditionalFormatting sqref="D126">
    <cfRule type="cellIs" dxfId="784" priority="7770" operator="notEqual">
      <formula>E126</formula>
    </cfRule>
  </conditionalFormatting>
  <conditionalFormatting sqref="D127">
    <cfRule type="cellIs" dxfId="783" priority="7769" operator="notEqual">
      <formula>E127</formula>
    </cfRule>
  </conditionalFormatting>
  <conditionalFormatting sqref="D128">
    <cfRule type="cellIs" dxfId="782" priority="7768" operator="notEqual">
      <formula>E128</formula>
    </cfRule>
  </conditionalFormatting>
  <conditionalFormatting sqref="D129">
    <cfRule type="cellIs" dxfId="781" priority="7767" operator="notEqual">
      <formula>E129</formula>
    </cfRule>
  </conditionalFormatting>
  <conditionalFormatting sqref="D130">
    <cfRule type="cellIs" dxfId="780" priority="7766" operator="notEqual">
      <formula>E130</formula>
    </cfRule>
  </conditionalFormatting>
  <conditionalFormatting sqref="D131">
    <cfRule type="cellIs" dxfId="779" priority="7765" operator="notEqual">
      <formula>E131</formula>
    </cfRule>
  </conditionalFormatting>
  <conditionalFormatting sqref="D132">
    <cfRule type="cellIs" dxfId="778" priority="7764" operator="notEqual">
      <formula>E132</formula>
    </cfRule>
  </conditionalFormatting>
  <conditionalFormatting sqref="D134">
    <cfRule type="cellIs" dxfId="777" priority="7763" operator="notEqual">
      <formula>E134</formula>
    </cfRule>
  </conditionalFormatting>
  <conditionalFormatting sqref="D135">
    <cfRule type="cellIs" dxfId="776" priority="7762" operator="notEqual">
      <formula>E135</formula>
    </cfRule>
  </conditionalFormatting>
  <conditionalFormatting sqref="D136">
    <cfRule type="cellIs" dxfId="775" priority="7761" operator="notEqual">
      <formula>E136</formula>
    </cfRule>
  </conditionalFormatting>
  <conditionalFormatting sqref="D137">
    <cfRule type="cellIs" dxfId="774" priority="7760" operator="notEqual">
      <formula>E137</formula>
    </cfRule>
  </conditionalFormatting>
  <conditionalFormatting sqref="D138">
    <cfRule type="cellIs" dxfId="773" priority="7759" operator="notEqual">
      <formula>E138</formula>
    </cfRule>
  </conditionalFormatting>
  <conditionalFormatting sqref="D139">
    <cfRule type="cellIs" dxfId="772" priority="7758" operator="notEqual">
      <formula>E139</formula>
    </cfRule>
  </conditionalFormatting>
  <conditionalFormatting sqref="D140">
    <cfRule type="cellIs" dxfId="771" priority="7757" operator="notEqual">
      <formula>E140</formula>
    </cfRule>
  </conditionalFormatting>
  <conditionalFormatting sqref="D141">
    <cfRule type="cellIs" dxfId="770" priority="7756" operator="notEqual">
      <formula>E141</formula>
    </cfRule>
  </conditionalFormatting>
  <conditionalFormatting sqref="D142">
    <cfRule type="cellIs" dxfId="769" priority="7755" operator="notEqual">
      <formula>E142</formula>
    </cfRule>
  </conditionalFormatting>
  <conditionalFormatting sqref="D143">
    <cfRule type="cellIs" dxfId="768" priority="7754" operator="notEqual">
      <formula>E143</formula>
    </cfRule>
  </conditionalFormatting>
  <conditionalFormatting sqref="D144">
    <cfRule type="cellIs" dxfId="767" priority="7753" operator="notEqual">
      <formula>E144</formula>
    </cfRule>
  </conditionalFormatting>
  <conditionalFormatting sqref="D21">
    <cfRule type="cellIs" dxfId="766" priority="6884" operator="notEqual">
      <formula>E21</formula>
    </cfRule>
  </conditionalFormatting>
  <conditionalFormatting sqref="D22">
    <cfRule type="cellIs" dxfId="765" priority="6883" operator="notEqual">
      <formula>E22</formula>
    </cfRule>
  </conditionalFormatting>
  <conditionalFormatting sqref="D23">
    <cfRule type="cellIs" dxfId="764" priority="6882" operator="notEqual">
      <formula>E23</formula>
    </cfRule>
  </conditionalFormatting>
  <conditionalFormatting sqref="D24">
    <cfRule type="cellIs" dxfId="763" priority="6881" operator="notEqual">
      <formula>E24</formula>
    </cfRule>
  </conditionalFormatting>
  <conditionalFormatting sqref="D60">
    <cfRule type="cellIs" dxfId="762" priority="5036" operator="notEqual">
      <formula>E60</formula>
    </cfRule>
  </conditionalFormatting>
  <conditionalFormatting sqref="D36">
    <cfRule type="cellIs" dxfId="761" priority="4785" operator="lessThan">
      <formula>120</formula>
    </cfRule>
    <cfRule type="cellIs" dxfId="760" priority="4786" operator="greaterThan">
      <formula>150</formula>
    </cfRule>
  </conditionalFormatting>
  <conditionalFormatting sqref="D37">
    <cfRule type="cellIs" dxfId="759" priority="4781" operator="lessThan">
      <formula>120</formula>
    </cfRule>
    <cfRule type="cellIs" dxfId="758" priority="4784" operator="greaterThan">
      <formula>150</formula>
    </cfRule>
  </conditionalFormatting>
  <conditionalFormatting sqref="D119">
    <cfRule type="cellIs" dxfId="757" priority="4191" operator="notEqual">
      <formula>E119</formula>
    </cfRule>
  </conditionalFormatting>
  <conditionalFormatting sqref="D120">
    <cfRule type="cellIs" dxfId="756" priority="4185" operator="notEqual">
      <formula>E120</formula>
    </cfRule>
  </conditionalFormatting>
  <conditionalFormatting sqref="D121">
    <cfRule type="cellIs" dxfId="755" priority="4179" operator="notEqual">
      <formula>E121</formula>
    </cfRule>
  </conditionalFormatting>
  <conditionalFormatting sqref="L36:L37">
    <cfRule type="cellIs" dxfId="754" priority="856" operator="notEqual">
      <formula>L36</formula>
    </cfRule>
  </conditionalFormatting>
  <conditionalFormatting sqref="L36">
    <cfRule type="cellIs" dxfId="753" priority="750" operator="lessThan">
      <formula>120</formula>
    </cfRule>
    <cfRule type="cellIs" dxfId="752" priority="751" operator="greaterThan">
      <formula>150</formula>
    </cfRule>
  </conditionalFormatting>
  <conditionalFormatting sqref="L37">
    <cfRule type="cellIs" dxfId="751" priority="747" operator="lessThan">
      <formula>120</formula>
    </cfRule>
    <cfRule type="cellIs" dxfId="750" priority="749" operator="greaterThan">
      <formula>150</formula>
    </cfRule>
  </conditionalFormatting>
  <conditionalFormatting sqref="L10:L18 L35 L39:L42 L53:L56 L74:L88 L90:L95 L97:L106 L108:L117 L123:L132 L134:L144 L20:L29 L58:L72 L119:L121">
    <cfRule type="cellIs" dxfId="749" priority="7934" operator="notEqual">
      <formula>#REF!</formula>
    </cfRule>
  </conditionalFormatting>
  <conditionalFormatting sqref="L31:L32">
    <cfRule type="cellIs" dxfId="748" priority="7951" operator="lessThan">
      <formula>17</formula>
    </cfRule>
    <cfRule type="cellIs" dxfId="747" priority="7952" operator="greaterThan">
      <formula>47</formula>
    </cfRule>
    <cfRule type="cellIs" dxfId="746" priority="7953" operator="notEqual">
      <formula>#REF!</formula>
    </cfRule>
  </conditionalFormatting>
  <conditionalFormatting sqref="L33:L34">
    <cfRule type="cellIs" dxfId="745" priority="7957" operator="lessThan">
      <formula>21</formula>
    </cfRule>
    <cfRule type="cellIs" dxfId="744" priority="7958" operator="greaterThan">
      <formula>66</formula>
    </cfRule>
    <cfRule type="cellIs" dxfId="743" priority="7959" operator="notEqual">
      <formula>#REF!</formula>
    </cfRule>
  </conditionalFormatting>
  <conditionalFormatting sqref="L38">
    <cfRule type="cellIs" dxfId="742" priority="7964" operator="greaterThan">
      <formula>385</formula>
    </cfRule>
    <cfRule type="cellIs" dxfId="741" priority="7965" operator="lessThan">
      <formula>340</formula>
    </cfRule>
    <cfRule type="cellIs" dxfId="740" priority="7966" operator="notEqual">
      <formula>#REF!</formula>
    </cfRule>
  </conditionalFormatting>
  <conditionalFormatting sqref="L44:L45">
    <cfRule type="cellIs" dxfId="739" priority="7971" operator="greaterThan">
      <formula>-0.2</formula>
    </cfRule>
    <cfRule type="cellIs" dxfId="738" priority="7972" operator="lessThan">
      <formula>-6.4</formula>
    </cfRule>
    <cfRule type="cellIs" dxfId="737" priority="7973" operator="notEqual">
      <formula>#REF!</formula>
    </cfRule>
  </conditionalFormatting>
  <conditionalFormatting sqref="L46:L47">
    <cfRule type="cellIs" dxfId="736" priority="7977" operator="greaterThan">
      <formula>-1</formula>
    </cfRule>
    <cfRule type="cellIs" dxfId="735" priority="7978" operator="lessThan">
      <formula>-2</formula>
    </cfRule>
    <cfRule type="cellIs" dxfId="734" priority="7979" operator="notEqual">
      <formula>#REF!</formula>
    </cfRule>
  </conditionalFormatting>
  <conditionalFormatting sqref="L48:L49">
    <cfRule type="cellIs" dxfId="733" priority="7983" operator="greaterThan">
      <formula>28.5</formula>
    </cfRule>
    <cfRule type="cellIs" dxfId="732" priority="7984" operator="notEqual">
      <formula>#REF!</formula>
    </cfRule>
  </conditionalFormatting>
  <conditionalFormatting sqref="L50:L51">
    <cfRule type="cellIs" dxfId="731" priority="7987" operator="greaterThan">
      <formula>6.5</formula>
    </cfRule>
    <cfRule type="cellIs" dxfId="730" priority="7988" operator="notEqual">
      <formula>#REF!</formula>
    </cfRule>
  </conditionalFormatting>
  <conditionalFormatting sqref="K13 K95 K116">
    <cfRule type="cellIs" dxfId="729" priority="730" operator="notEqual">
      <formula>L13</formula>
    </cfRule>
  </conditionalFormatting>
  <conditionalFormatting sqref="K10">
    <cfRule type="cellIs" dxfId="728" priority="729" operator="notEqual">
      <formula>L10</formula>
    </cfRule>
  </conditionalFormatting>
  <conditionalFormatting sqref="K11">
    <cfRule type="cellIs" dxfId="727" priority="728" operator="notEqual">
      <formula>L11</formula>
    </cfRule>
  </conditionalFormatting>
  <conditionalFormatting sqref="K12">
    <cfRule type="cellIs" dxfId="726" priority="727" operator="notEqual">
      <formula>L12</formula>
    </cfRule>
  </conditionalFormatting>
  <conditionalFormatting sqref="K14">
    <cfRule type="cellIs" dxfId="725" priority="726" operator="notEqual">
      <formula>L14</formula>
    </cfRule>
  </conditionalFormatting>
  <conditionalFormatting sqref="K15">
    <cfRule type="cellIs" dxfId="724" priority="725" operator="notEqual">
      <formula>L15</formula>
    </cfRule>
  </conditionalFormatting>
  <conditionalFormatting sqref="K16">
    <cfRule type="cellIs" dxfId="723" priority="724" operator="notEqual">
      <formula>L16</formula>
    </cfRule>
  </conditionalFormatting>
  <conditionalFormatting sqref="K17">
    <cfRule type="cellIs" dxfId="722" priority="723" operator="notEqual">
      <formula>L17</formula>
    </cfRule>
  </conditionalFormatting>
  <conditionalFormatting sqref="K18">
    <cfRule type="cellIs" dxfId="721" priority="722" operator="notEqual">
      <formula>L18</formula>
    </cfRule>
  </conditionalFormatting>
  <conditionalFormatting sqref="K20">
    <cfRule type="cellIs" dxfId="720" priority="721" operator="notEqual">
      <formula>L20</formula>
    </cfRule>
  </conditionalFormatting>
  <conditionalFormatting sqref="K25">
    <cfRule type="cellIs" dxfId="719" priority="720" operator="notEqual">
      <formula>L25</formula>
    </cfRule>
  </conditionalFormatting>
  <conditionalFormatting sqref="K26">
    <cfRule type="cellIs" dxfId="718" priority="719" operator="notEqual">
      <formula>L26</formula>
    </cfRule>
  </conditionalFormatting>
  <conditionalFormatting sqref="K27">
    <cfRule type="cellIs" dxfId="717" priority="718" operator="notEqual">
      <formula>L27</formula>
    </cfRule>
  </conditionalFormatting>
  <conditionalFormatting sqref="K28">
    <cfRule type="cellIs" dxfId="716" priority="717" operator="notEqual">
      <formula>L28</formula>
    </cfRule>
  </conditionalFormatting>
  <conditionalFormatting sqref="K29">
    <cfRule type="cellIs" dxfId="715" priority="716" operator="notEqual">
      <formula>L29</formula>
    </cfRule>
  </conditionalFormatting>
  <conditionalFormatting sqref="K31">
    <cfRule type="cellIs" dxfId="714" priority="611" operator="lessThan">
      <formula>17</formula>
    </cfRule>
    <cfRule type="cellIs" dxfId="713" priority="613" operator="greaterThan">
      <formula>47</formula>
    </cfRule>
    <cfRule type="cellIs" dxfId="712" priority="715" operator="notEqual">
      <formula>L31</formula>
    </cfRule>
  </conditionalFormatting>
  <conditionalFormatting sqref="K32">
    <cfRule type="cellIs" dxfId="711" priority="610" operator="lessThan">
      <formula>17</formula>
    </cfRule>
    <cfRule type="cellIs" dxfId="710" priority="612" operator="greaterThan">
      <formula>47</formula>
    </cfRule>
    <cfRule type="cellIs" dxfId="709" priority="714" operator="notEqual">
      <formula>L32</formula>
    </cfRule>
  </conditionalFormatting>
  <conditionalFormatting sqref="K33">
    <cfRule type="cellIs" dxfId="708" priority="607" operator="lessThan">
      <formula>21</formula>
    </cfRule>
    <cfRule type="cellIs" dxfId="707" priority="609" operator="greaterThan">
      <formula>66</formula>
    </cfRule>
    <cfRule type="cellIs" dxfId="706" priority="713" operator="notEqual">
      <formula>L33</formula>
    </cfRule>
  </conditionalFormatting>
  <conditionalFormatting sqref="K34">
    <cfRule type="cellIs" dxfId="705" priority="606" operator="lessThan">
      <formula>21</formula>
    </cfRule>
    <cfRule type="cellIs" dxfId="704" priority="608" operator="greaterThan">
      <formula>66</formula>
    </cfRule>
    <cfRule type="cellIs" dxfId="703" priority="712" operator="notEqual">
      <formula>L34</formula>
    </cfRule>
  </conditionalFormatting>
  <conditionalFormatting sqref="K35">
    <cfRule type="cellIs" dxfId="702" priority="711" operator="notEqual">
      <formula>L35</formula>
    </cfRule>
  </conditionalFormatting>
  <conditionalFormatting sqref="K36:K37">
    <cfRule type="cellIs" dxfId="701" priority="710" operator="notEqual">
      <formula>K36</formula>
    </cfRule>
  </conditionalFormatting>
  <conditionalFormatting sqref="K38">
    <cfRule type="cellIs" dxfId="700" priority="600" operator="greaterThan">
      <formula>385</formula>
    </cfRule>
    <cfRule type="cellIs" dxfId="699" priority="602" operator="lessThan">
      <formula>340</formula>
    </cfRule>
    <cfRule type="cellIs" dxfId="698" priority="709" operator="notEqual">
      <formula>L38</formula>
    </cfRule>
  </conditionalFormatting>
  <conditionalFormatting sqref="K39">
    <cfRule type="cellIs" dxfId="697" priority="708" operator="notEqual">
      <formula>L39</formula>
    </cfRule>
  </conditionalFormatting>
  <conditionalFormatting sqref="K40">
    <cfRule type="cellIs" dxfId="696" priority="707" operator="notEqual">
      <formula>L40</formula>
    </cfRule>
  </conditionalFormatting>
  <conditionalFormatting sqref="K41">
    <cfRule type="cellIs" dxfId="695" priority="706" operator="notEqual">
      <formula>L41</formula>
    </cfRule>
  </conditionalFormatting>
  <conditionalFormatting sqref="K42">
    <cfRule type="cellIs" dxfId="694" priority="705" operator="notEqual">
      <formula>L42</formula>
    </cfRule>
  </conditionalFormatting>
  <conditionalFormatting sqref="K44">
    <cfRule type="cellIs" dxfId="693" priority="593" operator="greaterThan">
      <formula>-0.2</formula>
    </cfRule>
    <cfRule type="cellIs" dxfId="692" priority="599" operator="lessThan">
      <formula>-6.4</formula>
    </cfRule>
    <cfRule type="cellIs" dxfId="691" priority="704" operator="notEqual">
      <formula>L44</formula>
    </cfRule>
  </conditionalFormatting>
  <conditionalFormatting sqref="K45">
    <cfRule type="cellIs" dxfId="690" priority="592" operator="greaterThan">
      <formula>-0.2</formula>
    </cfRule>
    <cfRule type="cellIs" dxfId="689" priority="598" operator="lessThan">
      <formula>-6.4</formula>
    </cfRule>
    <cfRule type="cellIs" dxfId="688" priority="703" operator="notEqual">
      <formula>L45</formula>
    </cfRule>
  </conditionalFormatting>
  <conditionalFormatting sqref="K46">
    <cfRule type="cellIs" dxfId="687" priority="595" operator="greaterThan">
      <formula>-1</formula>
    </cfRule>
    <cfRule type="cellIs" dxfId="686" priority="597" operator="lessThan">
      <formula>-2</formula>
    </cfRule>
    <cfRule type="cellIs" dxfId="685" priority="702" operator="notEqual">
      <formula>L46</formula>
    </cfRule>
  </conditionalFormatting>
  <conditionalFormatting sqref="K47">
    <cfRule type="cellIs" dxfId="684" priority="594" operator="greaterThan">
      <formula>-1</formula>
    </cfRule>
    <cfRule type="cellIs" dxfId="683" priority="596" operator="lessThan">
      <formula>-2</formula>
    </cfRule>
    <cfRule type="cellIs" dxfId="682" priority="701" operator="notEqual">
      <formula>L47</formula>
    </cfRule>
  </conditionalFormatting>
  <conditionalFormatting sqref="K48">
    <cfRule type="cellIs" dxfId="681" priority="591" operator="greaterThan">
      <formula>28.5</formula>
    </cfRule>
    <cfRule type="cellIs" dxfId="680" priority="700" operator="notEqual">
      <formula>L48</formula>
    </cfRule>
  </conditionalFormatting>
  <conditionalFormatting sqref="K49">
    <cfRule type="cellIs" dxfId="679" priority="590" operator="greaterThan">
      <formula>28.5</formula>
    </cfRule>
    <cfRule type="cellIs" dxfId="678" priority="699" operator="notEqual">
      <formula>L49</formula>
    </cfRule>
  </conditionalFormatting>
  <conditionalFormatting sqref="K50">
    <cfRule type="cellIs" dxfId="677" priority="589" operator="greaterThan">
      <formula>6.5</formula>
    </cfRule>
    <cfRule type="cellIs" dxfId="676" priority="698" operator="notEqual">
      <formula>L50</formula>
    </cfRule>
  </conditionalFormatting>
  <conditionalFormatting sqref="K51">
    <cfRule type="cellIs" dxfId="675" priority="588" operator="greaterThan">
      <formula>6.5</formula>
    </cfRule>
    <cfRule type="cellIs" dxfId="674" priority="697" operator="notEqual">
      <formula>L51</formula>
    </cfRule>
  </conditionalFormatting>
  <conditionalFormatting sqref="K53">
    <cfRule type="cellIs" dxfId="673" priority="696" operator="notEqual">
      <formula>L53</formula>
    </cfRule>
  </conditionalFormatting>
  <conditionalFormatting sqref="K54">
    <cfRule type="cellIs" dxfId="672" priority="695" operator="notEqual">
      <formula>L54</formula>
    </cfRule>
  </conditionalFormatting>
  <conditionalFormatting sqref="K55">
    <cfRule type="cellIs" dxfId="671" priority="694" operator="notEqual">
      <formula>L55</formula>
    </cfRule>
  </conditionalFormatting>
  <conditionalFormatting sqref="K56">
    <cfRule type="cellIs" dxfId="670" priority="693" operator="notEqual">
      <formula>L56</formula>
    </cfRule>
  </conditionalFormatting>
  <conditionalFormatting sqref="K58">
    <cfRule type="cellIs" dxfId="669" priority="692" operator="notEqual">
      <formula>L58</formula>
    </cfRule>
  </conditionalFormatting>
  <conditionalFormatting sqref="K59">
    <cfRule type="cellIs" dxfId="668" priority="691" operator="notEqual">
      <formula>L59</formula>
    </cfRule>
  </conditionalFormatting>
  <conditionalFormatting sqref="K61">
    <cfRule type="cellIs" dxfId="667" priority="690" operator="notEqual">
      <formula>L61</formula>
    </cfRule>
  </conditionalFormatting>
  <conditionalFormatting sqref="K62">
    <cfRule type="cellIs" dxfId="666" priority="689" operator="notEqual">
      <formula>L62</formula>
    </cfRule>
  </conditionalFormatting>
  <conditionalFormatting sqref="K63">
    <cfRule type="cellIs" dxfId="665" priority="688" operator="notEqual">
      <formula>L63</formula>
    </cfRule>
  </conditionalFormatting>
  <conditionalFormatting sqref="K64">
    <cfRule type="cellIs" dxfId="664" priority="687" operator="notEqual">
      <formula>L64</formula>
    </cfRule>
  </conditionalFormatting>
  <conditionalFormatting sqref="K65">
    <cfRule type="cellIs" dxfId="663" priority="686" operator="notEqual">
      <formula>L65</formula>
    </cfRule>
  </conditionalFormatting>
  <conditionalFormatting sqref="K66">
    <cfRule type="cellIs" dxfId="662" priority="685" operator="notEqual">
      <formula>L66</formula>
    </cfRule>
  </conditionalFormatting>
  <conditionalFormatting sqref="K67">
    <cfRule type="cellIs" dxfId="661" priority="684" operator="notEqual">
      <formula>L67</formula>
    </cfRule>
  </conditionalFormatting>
  <conditionalFormatting sqref="K68">
    <cfRule type="cellIs" dxfId="660" priority="683" operator="notEqual">
      <formula>L68</formula>
    </cfRule>
  </conditionalFormatting>
  <conditionalFormatting sqref="K69">
    <cfRule type="cellIs" dxfId="659" priority="682" operator="notEqual">
      <formula>L69</formula>
    </cfRule>
  </conditionalFormatting>
  <conditionalFormatting sqref="K70">
    <cfRule type="cellIs" dxfId="658" priority="681" operator="notEqual">
      <formula>L70</formula>
    </cfRule>
  </conditionalFormatting>
  <conditionalFormatting sqref="K71">
    <cfRule type="cellIs" dxfId="657" priority="680" operator="notEqual">
      <formula>L71</formula>
    </cfRule>
  </conditionalFormatting>
  <conditionalFormatting sqref="K72">
    <cfRule type="cellIs" dxfId="656" priority="679" operator="notEqual">
      <formula>L72</formula>
    </cfRule>
  </conditionalFormatting>
  <conditionalFormatting sqref="K74">
    <cfRule type="cellIs" dxfId="655" priority="678" operator="notEqual">
      <formula>L74</formula>
    </cfRule>
  </conditionalFormatting>
  <conditionalFormatting sqref="K75">
    <cfRule type="cellIs" dxfId="654" priority="677" operator="notEqual">
      <formula>L75</formula>
    </cfRule>
  </conditionalFormatting>
  <conditionalFormatting sqref="K76">
    <cfRule type="cellIs" dxfId="653" priority="676" operator="notEqual">
      <formula>L76</formula>
    </cfRule>
  </conditionalFormatting>
  <conditionalFormatting sqref="K77">
    <cfRule type="cellIs" dxfId="652" priority="675" operator="notEqual">
      <formula>L77</formula>
    </cfRule>
  </conditionalFormatting>
  <conditionalFormatting sqref="K78">
    <cfRule type="cellIs" dxfId="651" priority="674" operator="notEqual">
      <formula>L78</formula>
    </cfRule>
  </conditionalFormatting>
  <conditionalFormatting sqref="K79">
    <cfRule type="cellIs" dxfId="650" priority="673" operator="notEqual">
      <formula>L79</formula>
    </cfRule>
  </conditionalFormatting>
  <conditionalFormatting sqref="K80">
    <cfRule type="cellIs" dxfId="649" priority="672" operator="notEqual">
      <formula>L80</formula>
    </cfRule>
  </conditionalFormatting>
  <conditionalFormatting sqref="K81">
    <cfRule type="cellIs" dxfId="648" priority="671" operator="notEqual">
      <formula>L81</formula>
    </cfRule>
  </conditionalFormatting>
  <conditionalFormatting sqref="K82">
    <cfRule type="cellIs" dxfId="647" priority="670" operator="notEqual">
      <formula>L82</formula>
    </cfRule>
  </conditionalFormatting>
  <conditionalFormatting sqref="K83">
    <cfRule type="cellIs" dxfId="646" priority="669" operator="notEqual">
      <formula>L83</formula>
    </cfRule>
  </conditionalFormatting>
  <conditionalFormatting sqref="K84">
    <cfRule type="cellIs" dxfId="645" priority="668" operator="notEqual">
      <formula>L84</formula>
    </cfRule>
  </conditionalFormatting>
  <conditionalFormatting sqref="K85">
    <cfRule type="cellIs" dxfId="644" priority="667" operator="notEqual">
      <formula>L85</formula>
    </cfRule>
  </conditionalFormatting>
  <conditionalFormatting sqref="K86">
    <cfRule type="cellIs" dxfId="643" priority="666" operator="notEqual">
      <formula>L86</formula>
    </cfRule>
  </conditionalFormatting>
  <conditionalFormatting sqref="K87">
    <cfRule type="cellIs" dxfId="642" priority="665" operator="notEqual">
      <formula>L87</formula>
    </cfRule>
  </conditionalFormatting>
  <conditionalFormatting sqref="K88">
    <cfRule type="cellIs" dxfId="641" priority="664" operator="notEqual">
      <formula>L88</formula>
    </cfRule>
  </conditionalFormatting>
  <conditionalFormatting sqref="K90">
    <cfRule type="cellIs" dxfId="640" priority="663" operator="notEqual">
      <formula>L90</formula>
    </cfRule>
  </conditionalFormatting>
  <conditionalFormatting sqref="K91">
    <cfRule type="cellIs" dxfId="639" priority="662" operator="notEqual">
      <formula>L91</formula>
    </cfRule>
  </conditionalFormatting>
  <conditionalFormatting sqref="K92">
    <cfRule type="cellIs" dxfId="638" priority="661" operator="notEqual">
      <formula>L92</formula>
    </cfRule>
  </conditionalFormatting>
  <conditionalFormatting sqref="K93">
    <cfRule type="cellIs" dxfId="637" priority="660" operator="notEqual">
      <formula>L93</formula>
    </cfRule>
  </conditionalFormatting>
  <conditionalFormatting sqref="K94">
    <cfRule type="cellIs" dxfId="636" priority="659" operator="notEqual">
      <formula>L94</formula>
    </cfRule>
  </conditionalFormatting>
  <conditionalFormatting sqref="K97">
    <cfRule type="cellIs" dxfId="635" priority="658" operator="notEqual">
      <formula>L97</formula>
    </cfRule>
  </conditionalFormatting>
  <conditionalFormatting sqref="K98">
    <cfRule type="cellIs" dxfId="634" priority="657" operator="notEqual">
      <formula>L98</formula>
    </cfRule>
  </conditionalFormatting>
  <conditionalFormatting sqref="K99">
    <cfRule type="cellIs" dxfId="633" priority="656" operator="notEqual">
      <formula>L99</formula>
    </cfRule>
  </conditionalFormatting>
  <conditionalFormatting sqref="K100">
    <cfRule type="cellIs" dxfId="632" priority="655" operator="notEqual">
      <formula>L100</formula>
    </cfRule>
  </conditionalFormatting>
  <conditionalFormatting sqref="K101">
    <cfRule type="cellIs" dxfId="631" priority="654" operator="notEqual">
      <formula>L101</formula>
    </cfRule>
  </conditionalFormatting>
  <conditionalFormatting sqref="K102">
    <cfRule type="cellIs" dxfId="630" priority="653" operator="notEqual">
      <formula>L102</formula>
    </cfRule>
  </conditionalFormatting>
  <conditionalFormatting sqref="K103">
    <cfRule type="cellIs" dxfId="629" priority="652" operator="notEqual">
      <formula>L103</formula>
    </cfRule>
  </conditionalFormatting>
  <conditionalFormatting sqref="K104">
    <cfRule type="cellIs" dxfId="628" priority="651" operator="notEqual">
      <formula>L104</formula>
    </cfRule>
  </conditionalFormatting>
  <conditionalFormatting sqref="K105">
    <cfRule type="cellIs" dxfId="627" priority="650" operator="notEqual">
      <formula>L105</formula>
    </cfRule>
  </conditionalFormatting>
  <conditionalFormatting sqref="K106">
    <cfRule type="cellIs" dxfId="626" priority="649" operator="notEqual">
      <formula>L106</formula>
    </cfRule>
  </conditionalFormatting>
  <conditionalFormatting sqref="K108">
    <cfRule type="cellIs" dxfId="625" priority="648" operator="notEqual">
      <formula>L108</formula>
    </cfRule>
  </conditionalFormatting>
  <conditionalFormatting sqref="K109">
    <cfRule type="cellIs" dxfId="624" priority="647" operator="notEqual">
      <formula>L109</formula>
    </cfRule>
  </conditionalFormatting>
  <conditionalFormatting sqref="K110">
    <cfRule type="cellIs" dxfId="623" priority="646" operator="notEqual">
      <formula>L110</formula>
    </cfRule>
  </conditionalFormatting>
  <conditionalFormatting sqref="K111">
    <cfRule type="cellIs" dxfId="622" priority="645" operator="notEqual">
      <formula>L111</formula>
    </cfRule>
  </conditionalFormatting>
  <conditionalFormatting sqref="K112">
    <cfRule type="cellIs" dxfId="621" priority="644" operator="notEqual">
      <formula>L112</formula>
    </cfRule>
  </conditionalFormatting>
  <conditionalFormatting sqref="K113">
    <cfRule type="cellIs" dxfId="620" priority="643" operator="notEqual">
      <formula>L113</formula>
    </cfRule>
  </conditionalFormatting>
  <conditionalFormatting sqref="K114">
    <cfRule type="cellIs" dxfId="619" priority="642" operator="notEqual">
      <formula>L114</formula>
    </cfRule>
  </conditionalFormatting>
  <conditionalFormatting sqref="K115">
    <cfRule type="cellIs" dxfId="618" priority="641" operator="notEqual">
      <formula>L115</formula>
    </cfRule>
  </conditionalFormatting>
  <conditionalFormatting sqref="K117">
    <cfRule type="cellIs" dxfId="617" priority="640" operator="notEqual">
      <formula>L117</formula>
    </cfRule>
  </conditionalFormatting>
  <conditionalFormatting sqref="K123">
    <cfRule type="cellIs" dxfId="616" priority="639" operator="notEqual">
      <formula>L123</formula>
    </cfRule>
  </conditionalFormatting>
  <conditionalFormatting sqref="K124">
    <cfRule type="cellIs" dxfId="615" priority="638" operator="notEqual">
      <formula>L124</formula>
    </cfRule>
  </conditionalFormatting>
  <conditionalFormatting sqref="K125">
    <cfRule type="cellIs" dxfId="614" priority="637" operator="notEqual">
      <formula>L125</formula>
    </cfRule>
  </conditionalFormatting>
  <conditionalFormatting sqref="K126">
    <cfRule type="cellIs" dxfId="613" priority="636" operator="notEqual">
      <formula>L126</formula>
    </cfRule>
  </conditionalFormatting>
  <conditionalFormatting sqref="K127">
    <cfRule type="cellIs" dxfId="612" priority="635" operator="notEqual">
      <formula>L127</formula>
    </cfRule>
  </conditionalFormatting>
  <conditionalFormatting sqref="K128">
    <cfRule type="cellIs" dxfId="611" priority="634" operator="notEqual">
      <formula>L128</formula>
    </cfRule>
  </conditionalFormatting>
  <conditionalFormatting sqref="K129">
    <cfRule type="cellIs" dxfId="610" priority="633" operator="notEqual">
      <formula>L129</formula>
    </cfRule>
  </conditionalFormatting>
  <conditionalFormatting sqref="K130">
    <cfRule type="cellIs" dxfId="609" priority="632" operator="notEqual">
      <formula>L130</formula>
    </cfRule>
  </conditionalFormatting>
  <conditionalFormatting sqref="K131">
    <cfRule type="cellIs" dxfId="608" priority="631" operator="notEqual">
      <formula>L131</formula>
    </cfRule>
  </conditionalFormatting>
  <conditionalFormatting sqref="K132">
    <cfRule type="cellIs" dxfId="607" priority="630" operator="notEqual">
      <formula>L132</formula>
    </cfRule>
  </conditionalFormatting>
  <conditionalFormatting sqref="K134">
    <cfRule type="cellIs" dxfId="606" priority="629" operator="notEqual">
      <formula>L134</formula>
    </cfRule>
  </conditionalFormatting>
  <conditionalFormatting sqref="K135">
    <cfRule type="cellIs" dxfId="605" priority="628" operator="notEqual">
      <formula>L135</formula>
    </cfRule>
  </conditionalFormatting>
  <conditionalFormatting sqref="K136">
    <cfRule type="cellIs" dxfId="604" priority="627" operator="notEqual">
      <formula>L136</formula>
    </cfRule>
  </conditionalFormatting>
  <conditionalFormatting sqref="K137">
    <cfRule type="cellIs" dxfId="603" priority="626" operator="notEqual">
      <formula>L137</formula>
    </cfRule>
  </conditionalFormatting>
  <conditionalFormatting sqref="K138">
    <cfRule type="cellIs" dxfId="602" priority="625" operator="notEqual">
      <formula>L138</formula>
    </cfRule>
  </conditionalFormatting>
  <conditionalFormatting sqref="K139">
    <cfRule type="cellIs" dxfId="601" priority="624" operator="notEqual">
      <formula>L139</formula>
    </cfRule>
  </conditionalFormatting>
  <conditionalFormatting sqref="K140">
    <cfRule type="cellIs" dxfId="600" priority="623" operator="notEqual">
      <formula>L140</formula>
    </cfRule>
  </conditionalFormatting>
  <conditionalFormatting sqref="K141">
    <cfRule type="cellIs" dxfId="599" priority="622" operator="notEqual">
      <formula>L141</formula>
    </cfRule>
  </conditionalFormatting>
  <conditionalFormatting sqref="K142">
    <cfRule type="cellIs" dxfId="598" priority="621" operator="notEqual">
      <formula>L142</formula>
    </cfRule>
  </conditionalFormatting>
  <conditionalFormatting sqref="K143">
    <cfRule type="cellIs" dxfId="597" priority="620" operator="notEqual">
      <formula>L143</formula>
    </cfRule>
  </conditionalFormatting>
  <conditionalFormatting sqref="K144">
    <cfRule type="cellIs" dxfId="596" priority="619" operator="notEqual">
      <formula>L144</formula>
    </cfRule>
  </conditionalFormatting>
  <conditionalFormatting sqref="K21">
    <cfRule type="cellIs" dxfId="595" priority="618" operator="notEqual">
      <formula>L21</formula>
    </cfRule>
  </conditionalFormatting>
  <conditionalFormatting sqref="K22">
    <cfRule type="cellIs" dxfId="594" priority="617" operator="notEqual">
      <formula>L22</formula>
    </cfRule>
  </conditionalFormatting>
  <conditionalFormatting sqref="K23">
    <cfRule type="cellIs" dxfId="593" priority="616" operator="notEqual">
      <formula>L23</formula>
    </cfRule>
  </conditionalFormatting>
  <conditionalFormatting sqref="K24">
    <cfRule type="cellIs" dxfId="592" priority="615" operator="notEqual">
      <formula>L24</formula>
    </cfRule>
  </conditionalFormatting>
  <conditionalFormatting sqref="K60">
    <cfRule type="cellIs" dxfId="591" priority="614" operator="notEqual">
      <formula>L60</formula>
    </cfRule>
  </conditionalFormatting>
  <conditionalFormatting sqref="K36">
    <cfRule type="cellIs" dxfId="590" priority="604" operator="lessThan">
      <formula>120</formula>
    </cfRule>
    <cfRule type="cellIs" dxfId="589" priority="605" operator="greaterThan">
      <formula>150</formula>
    </cfRule>
  </conditionalFormatting>
  <conditionalFormatting sqref="K37">
    <cfRule type="cellIs" dxfId="588" priority="601" operator="lessThan">
      <formula>120</formula>
    </cfRule>
    <cfRule type="cellIs" dxfId="587" priority="603" operator="greaterThan">
      <formula>150</formula>
    </cfRule>
  </conditionalFormatting>
  <conditionalFormatting sqref="K119">
    <cfRule type="cellIs" dxfId="586" priority="587" operator="notEqual">
      <formula>L119</formula>
    </cfRule>
  </conditionalFormatting>
  <conditionalFormatting sqref="K120">
    <cfRule type="cellIs" dxfId="585" priority="586" operator="notEqual">
      <formula>L120</formula>
    </cfRule>
  </conditionalFormatting>
  <conditionalFormatting sqref="K121">
    <cfRule type="cellIs" dxfId="584" priority="585" operator="notEqual">
      <formula>L121</formula>
    </cfRule>
  </conditionalFormatting>
  <conditionalFormatting sqref="J13 J95 J116">
    <cfRule type="cellIs" dxfId="583" priority="584" operator="notEqual">
      <formula>K13</formula>
    </cfRule>
  </conditionalFormatting>
  <conditionalFormatting sqref="J10">
    <cfRule type="cellIs" dxfId="582" priority="583" operator="notEqual">
      <formula>K10</formula>
    </cfRule>
  </conditionalFormatting>
  <conditionalFormatting sqref="J11">
    <cfRule type="cellIs" dxfId="581" priority="582" operator="notEqual">
      <formula>K11</formula>
    </cfRule>
  </conditionalFormatting>
  <conditionalFormatting sqref="J12">
    <cfRule type="cellIs" dxfId="580" priority="581" operator="notEqual">
      <formula>K12</formula>
    </cfRule>
  </conditionalFormatting>
  <conditionalFormatting sqref="J14">
    <cfRule type="cellIs" dxfId="579" priority="580" operator="notEqual">
      <formula>K14</formula>
    </cfRule>
  </conditionalFormatting>
  <conditionalFormatting sqref="J15">
    <cfRule type="cellIs" dxfId="578" priority="579" operator="notEqual">
      <formula>K15</formula>
    </cfRule>
  </conditionalFormatting>
  <conditionalFormatting sqref="J16">
    <cfRule type="cellIs" dxfId="577" priority="578" operator="notEqual">
      <formula>K16</formula>
    </cfRule>
  </conditionalFormatting>
  <conditionalFormatting sqref="J17">
    <cfRule type="cellIs" dxfId="576" priority="577" operator="notEqual">
      <formula>K17</formula>
    </cfRule>
  </conditionalFormatting>
  <conditionalFormatting sqref="J18">
    <cfRule type="cellIs" dxfId="575" priority="576" operator="notEqual">
      <formula>K18</formula>
    </cfRule>
  </conditionalFormatting>
  <conditionalFormatting sqref="J20">
    <cfRule type="cellIs" dxfId="574" priority="575" operator="notEqual">
      <formula>K20</formula>
    </cfRule>
  </conditionalFormatting>
  <conditionalFormatting sqref="J25">
    <cfRule type="cellIs" dxfId="573" priority="574" operator="notEqual">
      <formula>K25</formula>
    </cfRule>
  </conditionalFormatting>
  <conditionalFormatting sqref="J26">
    <cfRule type="cellIs" dxfId="572" priority="573" operator="notEqual">
      <formula>K26</formula>
    </cfRule>
  </conditionalFormatting>
  <conditionalFormatting sqref="J27">
    <cfRule type="cellIs" dxfId="571" priority="572" operator="notEqual">
      <formula>K27</formula>
    </cfRule>
  </conditionalFormatting>
  <conditionalFormatting sqref="J28">
    <cfRule type="cellIs" dxfId="570" priority="571" operator="notEqual">
      <formula>K28</formula>
    </cfRule>
  </conditionalFormatting>
  <conditionalFormatting sqref="J29">
    <cfRule type="cellIs" dxfId="569" priority="570" operator="notEqual">
      <formula>K29</formula>
    </cfRule>
  </conditionalFormatting>
  <conditionalFormatting sqref="J31">
    <cfRule type="cellIs" dxfId="568" priority="465" operator="lessThan">
      <formula>17</formula>
    </cfRule>
    <cfRule type="cellIs" dxfId="567" priority="467" operator="greaterThan">
      <formula>47</formula>
    </cfRule>
    <cfRule type="cellIs" dxfId="566" priority="569" operator="notEqual">
      <formula>K31</formula>
    </cfRule>
  </conditionalFormatting>
  <conditionalFormatting sqref="J32">
    <cfRule type="cellIs" dxfId="565" priority="464" operator="lessThan">
      <formula>17</formula>
    </cfRule>
    <cfRule type="cellIs" dxfId="564" priority="466" operator="greaterThan">
      <formula>47</formula>
    </cfRule>
    <cfRule type="cellIs" dxfId="563" priority="568" operator="notEqual">
      <formula>K32</formula>
    </cfRule>
  </conditionalFormatting>
  <conditionalFormatting sqref="J33">
    <cfRule type="cellIs" dxfId="562" priority="461" operator="lessThan">
      <formula>21</formula>
    </cfRule>
    <cfRule type="cellIs" dxfId="561" priority="463" operator="greaterThan">
      <formula>66</formula>
    </cfRule>
    <cfRule type="cellIs" dxfId="560" priority="567" operator="notEqual">
      <formula>K33</formula>
    </cfRule>
  </conditionalFormatting>
  <conditionalFormatting sqref="J34">
    <cfRule type="cellIs" dxfId="559" priority="460" operator="lessThan">
      <formula>21</formula>
    </cfRule>
    <cfRule type="cellIs" dxfId="558" priority="462" operator="greaterThan">
      <formula>66</formula>
    </cfRule>
    <cfRule type="cellIs" dxfId="557" priority="566" operator="notEqual">
      <formula>K34</formula>
    </cfRule>
  </conditionalFormatting>
  <conditionalFormatting sqref="J35">
    <cfRule type="cellIs" dxfId="556" priority="565" operator="notEqual">
      <formula>K35</formula>
    </cfRule>
  </conditionalFormatting>
  <conditionalFormatting sqref="J36:J37">
    <cfRule type="cellIs" dxfId="555" priority="564" operator="notEqual">
      <formula>J36</formula>
    </cfRule>
  </conditionalFormatting>
  <conditionalFormatting sqref="J38">
    <cfRule type="cellIs" dxfId="554" priority="454" operator="greaterThan">
      <formula>385</formula>
    </cfRule>
    <cfRule type="cellIs" dxfId="553" priority="456" operator="lessThan">
      <formula>340</formula>
    </cfRule>
    <cfRule type="cellIs" dxfId="552" priority="563" operator="notEqual">
      <formula>K38</formula>
    </cfRule>
  </conditionalFormatting>
  <conditionalFormatting sqref="J39">
    <cfRule type="cellIs" dxfId="551" priority="562" operator="notEqual">
      <formula>K39</formula>
    </cfRule>
  </conditionalFormatting>
  <conditionalFormatting sqref="J40">
    <cfRule type="cellIs" dxfId="550" priority="561" operator="notEqual">
      <formula>K40</formula>
    </cfRule>
  </conditionalFormatting>
  <conditionalFormatting sqref="J41">
    <cfRule type="cellIs" dxfId="549" priority="560" operator="notEqual">
      <formula>K41</formula>
    </cfRule>
  </conditionalFormatting>
  <conditionalFormatting sqref="J42">
    <cfRule type="cellIs" dxfId="548" priority="559" operator="notEqual">
      <formula>K42</formula>
    </cfRule>
  </conditionalFormatting>
  <conditionalFormatting sqref="J44">
    <cfRule type="cellIs" dxfId="547" priority="447" operator="greaterThan">
      <formula>-0.2</formula>
    </cfRule>
    <cfRule type="cellIs" dxfId="546" priority="453" operator="lessThan">
      <formula>-6.4</formula>
    </cfRule>
    <cfRule type="cellIs" dxfId="545" priority="558" operator="notEqual">
      <formula>K44</formula>
    </cfRule>
  </conditionalFormatting>
  <conditionalFormatting sqref="J45">
    <cfRule type="cellIs" dxfId="544" priority="446" operator="greaterThan">
      <formula>-0.2</formula>
    </cfRule>
    <cfRule type="cellIs" dxfId="543" priority="452" operator="lessThan">
      <formula>-6.4</formula>
    </cfRule>
    <cfRule type="cellIs" dxfId="542" priority="557" operator="notEqual">
      <formula>K45</formula>
    </cfRule>
  </conditionalFormatting>
  <conditionalFormatting sqref="J46">
    <cfRule type="cellIs" dxfId="541" priority="449" operator="greaterThan">
      <formula>-1</formula>
    </cfRule>
    <cfRule type="cellIs" dxfId="540" priority="451" operator="lessThan">
      <formula>-2</formula>
    </cfRule>
    <cfRule type="cellIs" dxfId="539" priority="556" operator="notEqual">
      <formula>K46</formula>
    </cfRule>
  </conditionalFormatting>
  <conditionalFormatting sqref="J47">
    <cfRule type="cellIs" dxfId="538" priority="448" operator="greaterThan">
      <formula>-1</formula>
    </cfRule>
    <cfRule type="cellIs" dxfId="537" priority="450" operator="lessThan">
      <formula>-2</formula>
    </cfRule>
    <cfRule type="cellIs" dxfId="536" priority="555" operator="notEqual">
      <formula>K47</formula>
    </cfRule>
  </conditionalFormatting>
  <conditionalFormatting sqref="J48">
    <cfRule type="cellIs" dxfId="535" priority="445" operator="greaterThan">
      <formula>28.5</formula>
    </cfRule>
    <cfRule type="cellIs" dxfId="534" priority="554" operator="notEqual">
      <formula>K48</formula>
    </cfRule>
  </conditionalFormatting>
  <conditionalFormatting sqref="J49">
    <cfRule type="cellIs" dxfId="533" priority="444" operator="greaterThan">
      <formula>28.5</formula>
    </cfRule>
    <cfRule type="cellIs" dxfId="532" priority="553" operator="notEqual">
      <formula>K49</formula>
    </cfRule>
  </conditionalFormatting>
  <conditionalFormatting sqref="J50">
    <cfRule type="cellIs" dxfId="531" priority="443" operator="greaterThan">
      <formula>6.5</formula>
    </cfRule>
    <cfRule type="cellIs" dxfId="530" priority="552" operator="notEqual">
      <formula>K50</formula>
    </cfRule>
  </conditionalFormatting>
  <conditionalFormatting sqref="J51">
    <cfRule type="cellIs" dxfId="529" priority="442" operator="greaterThan">
      <formula>6.5</formula>
    </cfRule>
    <cfRule type="cellIs" dxfId="528" priority="551" operator="notEqual">
      <formula>K51</formula>
    </cfRule>
  </conditionalFormatting>
  <conditionalFormatting sqref="J53">
    <cfRule type="cellIs" dxfId="527" priority="550" operator="notEqual">
      <formula>K53</formula>
    </cfRule>
  </conditionalFormatting>
  <conditionalFormatting sqref="J54">
    <cfRule type="cellIs" dxfId="526" priority="549" operator="notEqual">
      <formula>K54</formula>
    </cfRule>
  </conditionalFormatting>
  <conditionalFormatting sqref="J55">
    <cfRule type="cellIs" dxfId="525" priority="548" operator="notEqual">
      <formula>K55</formula>
    </cfRule>
  </conditionalFormatting>
  <conditionalFormatting sqref="J56">
    <cfRule type="cellIs" dxfId="524" priority="547" operator="notEqual">
      <formula>K56</formula>
    </cfRule>
  </conditionalFormatting>
  <conditionalFormatting sqref="J58">
    <cfRule type="cellIs" dxfId="523" priority="546" operator="notEqual">
      <formula>K58</formula>
    </cfRule>
  </conditionalFormatting>
  <conditionalFormatting sqref="J59">
    <cfRule type="cellIs" dxfId="522" priority="545" operator="notEqual">
      <formula>K59</formula>
    </cfRule>
  </conditionalFormatting>
  <conditionalFormatting sqref="J61">
    <cfRule type="cellIs" dxfId="521" priority="544" operator="notEqual">
      <formula>K61</formula>
    </cfRule>
  </conditionalFormatting>
  <conditionalFormatting sqref="J62">
    <cfRule type="cellIs" dxfId="520" priority="543" operator="notEqual">
      <formula>K62</formula>
    </cfRule>
  </conditionalFormatting>
  <conditionalFormatting sqref="J63">
    <cfRule type="cellIs" dxfId="519" priority="542" operator="notEqual">
      <formula>K63</formula>
    </cfRule>
  </conditionalFormatting>
  <conditionalFormatting sqref="J64">
    <cfRule type="cellIs" dxfId="518" priority="541" operator="notEqual">
      <formula>K64</formula>
    </cfRule>
  </conditionalFormatting>
  <conditionalFormatting sqref="J65">
    <cfRule type="cellIs" dxfId="517" priority="540" operator="notEqual">
      <formula>K65</formula>
    </cfRule>
  </conditionalFormatting>
  <conditionalFormatting sqref="J66">
    <cfRule type="cellIs" dxfId="516" priority="539" operator="notEqual">
      <formula>K66</formula>
    </cfRule>
  </conditionalFormatting>
  <conditionalFormatting sqref="J67">
    <cfRule type="cellIs" dxfId="515" priority="538" operator="notEqual">
      <formula>K67</formula>
    </cfRule>
  </conditionalFormatting>
  <conditionalFormatting sqref="J68">
    <cfRule type="cellIs" dxfId="514" priority="537" operator="notEqual">
      <formula>K68</formula>
    </cfRule>
  </conditionalFormatting>
  <conditionalFormatting sqref="J69">
    <cfRule type="cellIs" dxfId="513" priority="536" operator="notEqual">
      <formula>K69</formula>
    </cfRule>
  </conditionalFormatting>
  <conditionalFormatting sqref="J70">
    <cfRule type="cellIs" dxfId="512" priority="535" operator="notEqual">
      <formula>K70</formula>
    </cfRule>
  </conditionalFormatting>
  <conditionalFormatting sqref="J71">
    <cfRule type="cellIs" dxfId="511" priority="534" operator="notEqual">
      <formula>K71</formula>
    </cfRule>
  </conditionalFormatting>
  <conditionalFormatting sqref="J72">
    <cfRule type="cellIs" dxfId="510" priority="533" operator="notEqual">
      <formula>K72</formula>
    </cfRule>
  </conditionalFormatting>
  <conditionalFormatting sqref="J74">
    <cfRule type="cellIs" dxfId="509" priority="532" operator="notEqual">
      <formula>K74</formula>
    </cfRule>
  </conditionalFormatting>
  <conditionalFormatting sqref="J75">
    <cfRule type="cellIs" dxfId="508" priority="531" operator="notEqual">
      <formula>K75</formula>
    </cfRule>
  </conditionalFormatting>
  <conditionalFormatting sqref="J76">
    <cfRule type="cellIs" dxfId="507" priority="530" operator="notEqual">
      <formula>K76</formula>
    </cfRule>
  </conditionalFormatting>
  <conditionalFormatting sqref="J77">
    <cfRule type="cellIs" dxfId="506" priority="529" operator="notEqual">
      <formula>K77</formula>
    </cfRule>
  </conditionalFormatting>
  <conditionalFormatting sqref="J78">
    <cfRule type="cellIs" dxfId="505" priority="528" operator="notEqual">
      <formula>K78</formula>
    </cfRule>
  </conditionalFormatting>
  <conditionalFormatting sqref="J79">
    <cfRule type="cellIs" dxfId="504" priority="527" operator="notEqual">
      <formula>K79</formula>
    </cfRule>
  </conditionalFormatting>
  <conditionalFormatting sqref="J80">
    <cfRule type="cellIs" dxfId="503" priority="526" operator="notEqual">
      <formula>K80</formula>
    </cfRule>
  </conditionalFormatting>
  <conditionalFormatting sqref="J81">
    <cfRule type="cellIs" dxfId="502" priority="525" operator="notEqual">
      <formula>K81</formula>
    </cfRule>
  </conditionalFormatting>
  <conditionalFormatting sqref="J82">
    <cfRule type="cellIs" dxfId="501" priority="524" operator="notEqual">
      <formula>K82</formula>
    </cfRule>
  </conditionalFormatting>
  <conditionalFormatting sqref="J83">
    <cfRule type="cellIs" dxfId="500" priority="523" operator="notEqual">
      <formula>K83</formula>
    </cfRule>
  </conditionalFormatting>
  <conditionalFormatting sqref="J84">
    <cfRule type="cellIs" dxfId="499" priority="522" operator="notEqual">
      <formula>K84</formula>
    </cfRule>
  </conditionalFormatting>
  <conditionalFormatting sqref="J85">
    <cfRule type="cellIs" dxfId="498" priority="521" operator="notEqual">
      <formula>K85</formula>
    </cfRule>
  </conditionalFormatting>
  <conditionalFormatting sqref="J86">
    <cfRule type="cellIs" dxfId="497" priority="520" operator="notEqual">
      <formula>K86</formula>
    </cfRule>
  </conditionalFormatting>
  <conditionalFormatting sqref="J87">
    <cfRule type="cellIs" dxfId="496" priority="519" operator="notEqual">
      <formula>K87</formula>
    </cfRule>
  </conditionalFormatting>
  <conditionalFormatting sqref="J88">
    <cfRule type="cellIs" dxfId="495" priority="518" operator="notEqual">
      <formula>K88</formula>
    </cfRule>
  </conditionalFormatting>
  <conditionalFormatting sqref="J90">
    <cfRule type="cellIs" dxfId="494" priority="517" operator="notEqual">
      <formula>K90</formula>
    </cfRule>
  </conditionalFormatting>
  <conditionalFormatting sqref="J91">
    <cfRule type="cellIs" dxfId="493" priority="516" operator="notEqual">
      <formula>K91</formula>
    </cfRule>
  </conditionalFormatting>
  <conditionalFormatting sqref="J92">
    <cfRule type="cellIs" dxfId="492" priority="515" operator="notEqual">
      <formula>K92</formula>
    </cfRule>
  </conditionalFormatting>
  <conditionalFormatting sqref="J93">
    <cfRule type="cellIs" dxfId="491" priority="514" operator="notEqual">
      <formula>K93</formula>
    </cfRule>
  </conditionalFormatting>
  <conditionalFormatting sqref="J94">
    <cfRule type="cellIs" dxfId="490" priority="513" operator="notEqual">
      <formula>K94</formula>
    </cfRule>
  </conditionalFormatting>
  <conditionalFormatting sqref="J97">
    <cfRule type="cellIs" dxfId="489" priority="512" operator="notEqual">
      <formula>K97</formula>
    </cfRule>
  </conditionalFormatting>
  <conditionalFormatting sqref="J98">
    <cfRule type="cellIs" dxfId="488" priority="511" operator="notEqual">
      <formula>K98</formula>
    </cfRule>
  </conditionalFormatting>
  <conditionalFormatting sqref="J99">
    <cfRule type="cellIs" dxfId="487" priority="510" operator="notEqual">
      <formula>K99</formula>
    </cfRule>
  </conditionalFormatting>
  <conditionalFormatting sqref="J100">
    <cfRule type="cellIs" dxfId="486" priority="509" operator="notEqual">
      <formula>K100</formula>
    </cfRule>
  </conditionalFormatting>
  <conditionalFormatting sqref="J101">
    <cfRule type="cellIs" dxfId="485" priority="508" operator="notEqual">
      <formula>K101</formula>
    </cfRule>
  </conditionalFormatting>
  <conditionalFormatting sqref="J102">
    <cfRule type="cellIs" dxfId="484" priority="507" operator="notEqual">
      <formula>K102</formula>
    </cfRule>
  </conditionalFormatting>
  <conditionalFormatting sqref="J103">
    <cfRule type="cellIs" dxfId="483" priority="506" operator="notEqual">
      <formula>K103</formula>
    </cfRule>
  </conditionalFormatting>
  <conditionalFormatting sqref="J104">
    <cfRule type="cellIs" dxfId="482" priority="505" operator="notEqual">
      <formula>K104</formula>
    </cfRule>
  </conditionalFormatting>
  <conditionalFormatting sqref="J105">
    <cfRule type="cellIs" dxfId="481" priority="504" operator="notEqual">
      <formula>K105</formula>
    </cfRule>
  </conditionalFormatting>
  <conditionalFormatting sqref="J106">
    <cfRule type="cellIs" dxfId="480" priority="503" operator="notEqual">
      <formula>K106</formula>
    </cfRule>
  </conditionalFormatting>
  <conditionalFormatting sqref="J108">
    <cfRule type="cellIs" dxfId="479" priority="502" operator="notEqual">
      <formula>K108</formula>
    </cfRule>
  </conditionalFormatting>
  <conditionalFormatting sqref="J109">
    <cfRule type="cellIs" dxfId="478" priority="501" operator="notEqual">
      <formula>K109</formula>
    </cfRule>
  </conditionalFormatting>
  <conditionalFormatting sqref="J110">
    <cfRule type="cellIs" dxfId="477" priority="500" operator="notEqual">
      <formula>K110</formula>
    </cfRule>
  </conditionalFormatting>
  <conditionalFormatting sqref="J111">
    <cfRule type="cellIs" dxfId="476" priority="499" operator="notEqual">
      <formula>K111</formula>
    </cfRule>
  </conditionalFormatting>
  <conditionalFormatting sqref="J112">
    <cfRule type="cellIs" dxfId="475" priority="498" operator="notEqual">
      <formula>K112</formula>
    </cfRule>
  </conditionalFormatting>
  <conditionalFormatting sqref="J113">
    <cfRule type="cellIs" dxfId="474" priority="497" operator="notEqual">
      <formula>K113</formula>
    </cfRule>
  </conditionalFormatting>
  <conditionalFormatting sqref="J114">
    <cfRule type="cellIs" dxfId="473" priority="496" operator="notEqual">
      <formula>K114</formula>
    </cfRule>
  </conditionalFormatting>
  <conditionalFormatting sqref="J115">
    <cfRule type="cellIs" dxfId="472" priority="495" operator="notEqual">
      <formula>K115</formula>
    </cfRule>
  </conditionalFormatting>
  <conditionalFormatting sqref="J117">
    <cfRule type="cellIs" dxfId="471" priority="494" operator="notEqual">
      <formula>K117</formula>
    </cfRule>
  </conditionalFormatting>
  <conditionalFormatting sqref="J123">
    <cfRule type="cellIs" dxfId="470" priority="493" operator="notEqual">
      <formula>K123</formula>
    </cfRule>
  </conditionalFormatting>
  <conditionalFormatting sqref="J124">
    <cfRule type="cellIs" dxfId="469" priority="492" operator="notEqual">
      <formula>K124</formula>
    </cfRule>
  </conditionalFormatting>
  <conditionalFormatting sqref="J125">
    <cfRule type="cellIs" dxfId="468" priority="491" operator="notEqual">
      <formula>K125</formula>
    </cfRule>
  </conditionalFormatting>
  <conditionalFormatting sqref="J126">
    <cfRule type="cellIs" dxfId="467" priority="490" operator="notEqual">
      <formula>K126</formula>
    </cfRule>
  </conditionalFormatting>
  <conditionalFormatting sqref="J127">
    <cfRule type="cellIs" dxfId="466" priority="489" operator="notEqual">
      <formula>K127</formula>
    </cfRule>
  </conditionalFormatting>
  <conditionalFormatting sqref="J128">
    <cfRule type="cellIs" dxfId="465" priority="488" operator="notEqual">
      <formula>K128</formula>
    </cfRule>
  </conditionalFormatting>
  <conditionalFormatting sqref="J129">
    <cfRule type="cellIs" dxfId="464" priority="487" operator="notEqual">
      <formula>K129</formula>
    </cfRule>
  </conditionalFormatting>
  <conditionalFormatting sqref="J130">
    <cfRule type="cellIs" dxfId="463" priority="486" operator="notEqual">
      <formula>K130</formula>
    </cfRule>
  </conditionalFormatting>
  <conditionalFormatting sqref="J131">
    <cfRule type="cellIs" dxfId="462" priority="485" operator="notEqual">
      <formula>K131</formula>
    </cfRule>
  </conditionalFormatting>
  <conditionalFormatting sqref="J132">
    <cfRule type="cellIs" dxfId="461" priority="484" operator="notEqual">
      <formula>K132</formula>
    </cfRule>
  </conditionalFormatting>
  <conditionalFormatting sqref="J134">
    <cfRule type="cellIs" dxfId="460" priority="483" operator="notEqual">
      <formula>K134</formula>
    </cfRule>
  </conditionalFormatting>
  <conditionalFormatting sqref="J135">
    <cfRule type="cellIs" dxfId="459" priority="482" operator="notEqual">
      <formula>K135</formula>
    </cfRule>
  </conditionalFormatting>
  <conditionalFormatting sqref="J136">
    <cfRule type="cellIs" dxfId="458" priority="481" operator="notEqual">
      <formula>K136</formula>
    </cfRule>
  </conditionalFormatting>
  <conditionalFormatting sqref="J137">
    <cfRule type="cellIs" dxfId="457" priority="480" operator="notEqual">
      <formula>K137</formula>
    </cfRule>
  </conditionalFormatting>
  <conditionalFormatting sqref="J138">
    <cfRule type="cellIs" dxfId="456" priority="479" operator="notEqual">
      <formula>K138</formula>
    </cfRule>
  </conditionalFormatting>
  <conditionalFormatting sqref="J139">
    <cfRule type="cellIs" dxfId="455" priority="478" operator="notEqual">
      <formula>K139</formula>
    </cfRule>
  </conditionalFormatting>
  <conditionalFormatting sqref="J140">
    <cfRule type="cellIs" dxfId="454" priority="477" operator="notEqual">
      <formula>K140</formula>
    </cfRule>
  </conditionalFormatting>
  <conditionalFormatting sqref="J141">
    <cfRule type="cellIs" dxfId="453" priority="476" operator="notEqual">
      <formula>K141</formula>
    </cfRule>
  </conditionalFormatting>
  <conditionalFormatting sqref="J142">
    <cfRule type="cellIs" dxfId="452" priority="475" operator="notEqual">
      <formula>K142</formula>
    </cfRule>
  </conditionalFormatting>
  <conditionalFormatting sqref="J143">
    <cfRule type="cellIs" dxfId="451" priority="474" operator="notEqual">
      <formula>K143</formula>
    </cfRule>
  </conditionalFormatting>
  <conditionalFormatting sqref="J144">
    <cfRule type="cellIs" dxfId="450" priority="473" operator="notEqual">
      <formula>K144</formula>
    </cfRule>
  </conditionalFormatting>
  <conditionalFormatting sqref="J21">
    <cfRule type="cellIs" dxfId="449" priority="472" operator="notEqual">
      <formula>K21</formula>
    </cfRule>
  </conditionalFormatting>
  <conditionalFormatting sqref="J22">
    <cfRule type="cellIs" dxfId="448" priority="471" operator="notEqual">
      <formula>K22</formula>
    </cfRule>
  </conditionalFormatting>
  <conditionalFormatting sqref="J23">
    <cfRule type="cellIs" dxfId="447" priority="470" operator="notEqual">
      <formula>K23</formula>
    </cfRule>
  </conditionalFormatting>
  <conditionalFormatting sqref="J24">
    <cfRule type="cellIs" dxfId="446" priority="469" operator="notEqual">
      <formula>K24</formula>
    </cfRule>
  </conditionalFormatting>
  <conditionalFormatting sqref="J60">
    <cfRule type="cellIs" dxfId="445" priority="468" operator="notEqual">
      <formula>K60</formula>
    </cfRule>
  </conditionalFormatting>
  <conditionalFormatting sqref="J36">
    <cfRule type="cellIs" dxfId="444" priority="458" operator="lessThan">
      <formula>120</formula>
    </cfRule>
    <cfRule type="cellIs" dxfId="443" priority="459" operator="greaterThan">
      <formula>150</formula>
    </cfRule>
  </conditionalFormatting>
  <conditionalFormatting sqref="J37">
    <cfRule type="cellIs" dxfId="442" priority="455" operator="lessThan">
      <formula>120</formula>
    </cfRule>
    <cfRule type="cellIs" dxfId="441" priority="457" operator="greaterThan">
      <formula>150</formula>
    </cfRule>
  </conditionalFormatting>
  <conditionalFormatting sqref="J119">
    <cfRule type="cellIs" dxfId="440" priority="441" operator="notEqual">
      <formula>K119</formula>
    </cfRule>
  </conditionalFormatting>
  <conditionalFormatting sqref="J120">
    <cfRule type="cellIs" dxfId="439" priority="440" operator="notEqual">
      <formula>K120</formula>
    </cfRule>
  </conditionalFormatting>
  <conditionalFormatting sqref="J121">
    <cfRule type="cellIs" dxfId="438" priority="439" operator="notEqual">
      <formula>K121</formula>
    </cfRule>
  </conditionalFormatting>
  <conditionalFormatting sqref="I13 I95 I116">
    <cfRule type="cellIs" dxfId="437" priority="438" operator="notEqual">
      <formula>J13</formula>
    </cfRule>
  </conditionalFormatting>
  <conditionalFormatting sqref="I10">
    <cfRule type="cellIs" dxfId="436" priority="437" operator="notEqual">
      <formula>J10</formula>
    </cfRule>
  </conditionalFormatting>
  <conditionalFormatting sqref="I11">
    <cfRule type="cellIs" dxfId="435" priority="436" operator="notEqual">
      <formula>J11</formula>
    </cfRule>
  </conditionalFormatting>
  <conditionalFormatting sqref="I12">
    <cfRule type="cellIs" dxfId="434" priority="435" operator="notEqual">
      <formula>J12</formula>
    </cfRule>
  </conditionalFormatting>
  <conditionalFormatting sqref="I14">
    <cfRule type="cellIs" dxfId="433" priority="434" operator="notEqual">
      <formula>J14</formula>
    </cfRule>
  </conditionalFormatting>
  <conditionalFormatting sqref="I15">
    <cfRule type="cellIs" dxfId="432" priority="433" operator="notEqual">
      <formula>J15</formula>
    </cfRule>
  </conditionalFormatting>
  <conditionalFormatting sqref="I16">
    <cfRule type="cellIs" dxfId="431" priority="432" operator="notEqual">
      <formula>J16</formula>
    </cfRule>
  </conditionalFormatting>
  <conditionalFormatting sqref="I17">
    <cfRule type="cellIs" dxfId="430" priority="431" operator="notEqual">
      <formula>J17</formula>
    </cfRule>
  </conditionalFormatting>
  <conditionalFormatting sqref="I18">
    <cfRule type="cellIs" dxfId="429" priority="430" operator="notEqual">
      <formula>J18</formula>
    </cfRule>
  </conditionalFormatting>
  <conditionalFormatting sqref="I20">
    <cfRule type="cellIs" dxfId="428" priority="429" operator="notEqual">
      <formula>J20</formula>
    </cfRule>
  </conditionalFormatting>
  <conditionalFormatting sqref="I25">
    <cfRule type="cellIs" dxfId="427" priority="428" operator="notEqual">
      <formula>J25</formula>
    </cfRule>
  </conditionalFormatting>
  <conditionalFormatting sqref="I26">
    <cfRule type="cellIs" dxfId="426" priority="427" operator="notEqual">
      <formula>J26</formula>
    </cfRule>
  </conditionalFormatting>
  <conditionalFormatting sqref="I27">
    <cfRule type="cellIs" dxfId="425" priority="426" operator="notEqual">
      <formula>J27</formula>
    </cfRule>
  </conditionalFormatting>
  <conditionalFormatting sqref="I28">
    <cfRule type="cellIs" dxfId="424" priority="425" operator="notEqual">
      <formula>J28</formula>
    </cfRule>
  </conditionalFormatting>
  <conditionalFormatting sqref="I29">
    <cfRule type="cellIs" dxfId="423" priority="424" operator="notEqual">
      <formula>J29</formula>
    </cfRule>
  </conditionalFormatting>
  <conditionalFormatting sqref="I31">
    <cfRule type="cellIs" dxfId="422" priority="319" operator="lessThan">
      <formula>17</formula>
    </cfRule>
    <cfRule type="cellIs" dxfId="421" priority="321" operator="greaterThan">
      <formula>47</formula>
    </cfRule>
    <cfRule type="cellIs" dxfId="420" priority="423" operator="notEqual">
      <formula>J31</formula>
    </cfRule>
  </conditionalFormatting>
  <conditionalFormatting sqref="I32">
    <cfRule type="cellIs" dxfId="419" priority="318" operator="lessThan">
      <formula>17</formula>
    </cfRule>
    <cfRule type="cellIs" dxfId="418" priority="320" operator="greaterThan">
      <formula>47</formula>
    </cfRule>
    <cfRule type="cellIs" dxfId="417" priority="422" operator="notEqual">
      <formula>J32</formula>
    </cfRule>
  </conditionalFormatting>
  <conditionalFormatting sqref="I33">
    <cfRule type="cellIs" dxfId="416" priority="315" operator="lessThan">
      <formula>21</formula>
    </cfRule>
    <cfRule type="cellIs" dxfId="415" priority="317" operator="greaterThan">
      <formula>66</formula>
    </cfRule>
    <cfRule type="cellIs" dxfId="414" priority="421" operator="notEqual">
      <formula>J33</formula>
    </cfRule>
  </conditionalFormatting>
  <conditionalFormatting sqref="I34">
    <cfRule type="cellIs" dxfId="413" priority="314" operator="lessThan">
      <formula>21</formula>
    </cfRule>
    <cfRule type="cellIs" dxfId="412" priority="316" operator="greaterThan">
      <formula>66</formula>
    </cfRule>
    <cfRule type="cellIs" dxfId="411" priority="420" operator="notEqual">
      <formula>J34</formula>
    </cfRule>
  </conditionalFormatting>
  <conditionalFormatting sqref="I35">
    <cfRule type="cellIs" dxfId="410" priority="419" operator="notEqual">
      <formula>J35</formula>
    </cfRule>
  </conditionalFormatting>
  <conditionalFormatting sqref="I36:I37">
    <cfRule type="cellIs" dxfId="409" priority="418" operator="notEqual">
      <formula>I36</formula>
    </cfRule>
  </conditionalFormatting>
  <conditionalFormatting sqref="I38">
    <cfRule type="cellIs" dxfId="408" priority="308" operator="greaterThan">
      <formula>385</formula>
    </cfRule>
    <cfRule type="cellIs" dxfId="407" priority="310" operator="lessThan">
      <formula>340</formula>
    </cfRule>
    <cfRule type="cellIs" dxfId="406" priority="417" operator="notEqual">
      <formula>J38</formula>
    </cfRule>
  </conditionalFormatting>
  <conditionalFormatting sqref="I39">
    <cfRule type="cellIs" dxfId="405" priority="416" operator="notEqual">
      <formula>J39</formula>
    </cfRule>
  </conditionalFormatting>
  <conditionalFormatting sqref="I40">
    <cfRule type="cellIs" dxfId="404" priority="415" operator="notEqual">
      <formula>J40</formula>
    </cfRule>
  </conditionalFormatting>
  <conditionalFormatting sqref="I41">
    <cfRule type="cellIs" dxfId="403" priority="414" operator="notEqual">
      <formula>J41</formula>
    </cfRule>
  </conditionalFormatting>
  <conditionalFormatting sqref="I42">
    <cfRule type="cellIs" dxfId="402" priority="413" operator="notEqual">
      <formula>J42</formula>
    </cfRule>
  </conditionalFormatting>
  <conditionalFormatting sqref="I44">
    <cfRule type="cellIs" dxfId="401" priority="301" operator="greaterThan">
      <formula>-0.2</formula>
    </cfRule>
    <cfRule type="cellIs" dxfId="400" priority="307" operator="lessThan">
      <formula>-6.4</formula>
    </cfRule>
    <cfRule type="cellIs" dxfId="399" priority="412" operator="notEqual">
      <formula>J44</formula>
    </cfRule>
  </conditionalFormatting>
  <conditionalFormatting sqref="I45">
    <cfRule type="cellIs" dxfId="398" priority="300" operator="greaterThan">
      <formula>-0.2</formula>
    </cfRule>
    <cfRule type="cellIs" dxfId="397" priority="306" operator="lessThan">
      <formula>-6.4</formula>
    </cfRule>
    <cfRule type="cellIs" dxfId="396" priority="411" operator="notEqual">
      <formula>J45</formula>
    </cfRule>
  </conditionalFormatting>
  <conditionalFormatting sqref="I46">
    <cfRule type="cellIs" dxfId="395" priority="303" operator="greaterThan">
      <formula>-1</formula>
    </cfRule>
    <cfRule type="cellIs" dxfId="394" priority="305" operator="lessThan">
      <formula>-2</formula>
    </cfRule>
    <cfRule type="cellIs" dxfId="393" priority="410" operator="notEqual">
      <formula>J46</formula>
    </cfRule>
  </conditionalFormatting>
  <conditionalFormatting sqref="I47">
    <cfRule type="cellIs" dxfId="392" priority="302" operator="greaterThan">
      <formula>-1</formula>
    </cfRule>
    <cfRule type="cellIs" dxfId="391" priority="304" operator="lessThan">
      <formula>-2</formula>
    </cfRule>
    <cfRule type="cellIs" dxfId="390" priority="409" operator="notEqual">
      <formula>J47</formula>
    </cfRule>
  </conditionalFormatting>
  <conditionalFormatting sqref="I48">
    <cfRule type="cellIs" dxfId="389" priority="299" operator="greaterThan">
      <formula>28.5</formula>
    </cfRule>
    <cfRule type="cellIs" dxfId="388" priority="408" operator="notEqual">
      <formula>J48</formula>
    </cfRule>
  </conditionalFormatting>
  <conditionalFormatting sqref="I49">
    <cfRule type="cellIs" dxfId="387" priority="298" operator="greaterThan">
      <formula>28.5</formula>
    </cfRule>
    <cfRule type="cellIs" dxfId="386" priority="407" operator="notEqual">
      <formula>J49</formula>
    </cfRule>
  </conditionalFormatting>
  <conditionalFormatting sqref="I50">
    <cfRule type="cellIs" dxfId="385" priority="297" operator="greaterThan">
      <formula>6.5</formula>
    </cfRule>
    <cfRule type="cellIs" dxfId="384" priority="406" operator="notEqual">
      <formula>J50</formula>
    </cfRule>
  </conditionalFormatting>
  <conditionalFormatting sqref="I51">
    <cfRule type="cellIs" dxfId="383" priority="296" operator="greaterThan">
      <formula>6.5</formula>
    </cfRule>
    <cfRule type="cellIs" dxfId="382" priority="405" operator="notEqual">
      <formula>J51</formula>
    </cfRule>
  </conditionalFormatting>
  <conditionalFormatting sqref="I53">
    <cfRule type="cellIs" dxfId="381" priority="404" operator="notEqual">
      <formula>J53</formula>
    </cfRule>
  </conditionalFormatting>
  <conditionalFormatting sqref="I54">
    <cfRule type="cellIs" dxfId="380" priority="403" operator="notEqual">
      <formula>J54</formula>
    </cfRule>
  </conditionalFormatting>
  <conditionalFormatting sqref="I55">
    <cfRule type="cellIs" dxfId="379" priority="402" operator="notEqual">
      <formula>J55</formula>
    </cfRule>
  </conditionalFormatting>
  <conditionalFormatting sqref="I56">
    <cfRule type="cellIs" dxfId="378" priority="401" operator="notEqual">
      <formula>J56</formula>
    </cfRule>
  </conditionalFormatting>
  <conditionalFormatting sqref="I58">
    <cfRule type="cellIs" dxfId="377" priority="400" operator="notEqual">
      <formula>J58</formula>
    </cfRule>
  </conditionalFormatting>
  <conditionalFormatting sqref="I59">
    <cfRule type="cellIs" dxfId="376" priority="399" operator="notEqual">
      <formula>J59</formula>
    </cfRule>
  </conditionalFormatting>
  <conditionalFormatting sqref="I61">
    <cfRule type="cellIs" dxfId="375" priority="398" operator="notEqual">
      <formula>J61</formula>
    </cfRule>
  </conditionalFormatting>
  <conditionalFormatting sqref="I62">
    <cfRule type="cellIs" dxfId="374" priority="397" operator="notEqual">
      <formula>J62</formula>
    </cfRule>
  </conditionalFormatting>
  <conditionalFormatting sqref="I63">
    <cfRule type="cellIs" dxfId="373" priority="396" operator="notEqual">
      <formula>J63</formula>
    </cfRule>
  </conditionalFormatting>
  <conditionalFormatting sqref="I64">
    <cfRule type="cellIs" dxfId="372" priority="395" operator="notEqual">
      <formula>J64</formula>
    </cfRule>
  </conditionalFormatting>
  <conditionalFormatting sqref="I65">
    <cfRule type="cellIs" dxfId="371" priority="394" operator="notEqual">
      <formula>J65</formula>
    </cfRule>
  </conditionalFormatting>
  <conditionalFormatting sqref="I66">
    <cfRule type="cellIs" dxfId="370" priority="393" operator="notEqual">
      <formula>J66</formula>
    </cfRule>
  </conditionalFormatting>
  <conditionalFormatting sqref="I67">
    <cfRule type="cellIs" dxfId="369" priority="392" operator="notEqual">
      <formula>J67</formula>
    </cfRule>
  </conditionalFormatting>
  <conditionalFormatting sqref="I68">
    <cfRule type="cellIs" dxfId="368" priority="391" operator="notEqual">
      <formula>J68</formula>
    </cfRule>
  </conditionalFormatting>
  <conditionalFormatting sqref="I69">
    <cfRule type="cellIs" dxfId="367" priority="390" operator="notEqual">
      <formula>J69</formula>
    </cfRule>
  </conditionalFormatting>
  <conditionalFormatting sqref="I70">
    <cfRule type="cellIs" dxfId="366" priority="389" operator="notEqual">
      <formula>J70</formula>
    </cfRule>
  </conditionalFormatting>
  <conditionalFormatting sqref="I71">
    <cfRule type="cellIs" dxfId="365" priority="388" operator="notEqual">
      <formula>J71</formula>
    </cfRule>
  </conditionalFormatting>
  <conditionalFormatting sqref="I72">
    <cfRule type="cellIs" dxfId="364" priority="387" operator="notEqual">
      <formula>J72</formula>
    </cfRule>
  </conditionalFormatting>
  <conditionalFormatting sqref="I74">
    <cfRule type="cellIs" dxfId="363" priority="386" operator="notEqual">
      <formula>J74</formula>
    </cfRule>
  </conditionalFormatting>
  <conditionalFormatting sqref="I75">
    <cfRule type="cellIs" dxfId="362" priority="385" operator="notEqual">
      <formula>J75</formula>
    </cfRule>
  </conditionalFormatting>
  <conditionalFormatting sqref="I76">
    <cfRule type="cellIs" dxfId="361" priority="384" operator="notEqual">
      <formula>J76</formula>
    </cfRule>
  </conditionalFormatting>
  <conditionalFormatting sqref="I77">
    <cfRule type="cellIs" dxfId="360" priority="383" operator="notEqual">
      <formula>J77</formula>
    </cfRule>
  </conditionalFormatting>
  <conditionalFormatting sqref="I78">
    <cfRule type="cellIs" dxfId="359" priority="382" operator="notEqual">
      <formula>J78</formula>
    </cfRule>
  </conditionalFormatting>
  <conditionalFormatting sqref="I79">
    <cfRule type="cellIs" dxfId="358" priority="381" operator="notEqual">
      <formula>J79</formula>
    </cfRule>
  </conditionalFormatting>
  <conditionalFormatting sqref="I80">
    <cfRule type="cellIs" dxfId="357" priority="380" operator="notEqual">
      <formula>J80</formula>
    </cfRule>
  </conditionalFormatting>
  <conditionalFormatting sqref="I81">
    <cfRule type="cellIs" dxfId="356" priority="379" operator="notEqual">
      <formula>J81</formula>
    </cfRule>
  </conditionalFormatting>
  <conditionalFormatting sqref="I82">
    <cfRule type="cellIs" dxfId="355" priority="378" operator="notEqual">
      <formula>J82</formula>
    </cfRule>
  </conditionalFormatting>
  <conditionalFormatting sqref="I83">
    <cfRule type="cellIs" dxfId="354" priority="377" operator="notEqual">
      <formula>J83</formula>
    </cfRule>
  </conditionalFormatting>
  <conditionalFormatting sqref="I84">
    <cfRule type="cellIs" dxfId="353" priority="376" operator="notEqual">
      <formula>J84</formula>
    </cfRule>
  </conditionalFormatting>
  <conditionalFormatting sqref="I85">
    <cfRule type="cellIs" dxfId="352" priority="375" operator="notEqual">
      <formula>J85</formula>
    </cfRule>
  </conditionalFormatting>
  <conditionalFormatting sqref="I86">
    <cfRule type="cellIs" dxfId="351" priority="374" operator="notEqual">
      <formula>J86</formula>
    </cfRule>
  </conditionalFormatting>
  <conditionalFormatting sqref="I87">
    <cfRule type="cellIs" dxfId="350" priority="373" operator="notEqual">
      <formula>J87</formula>
    </cfRule>
  </conditionalFormatting>
  <conditionalFormatting sqref="I88">
    <cfRule type="cellIs" dxfId="349" priority="372" operator="notEqual">
      <formula>J88</formula>
    </cfRule>
  </conditionalFormatting>
  <conditionalFormatting sqref="I90">
    <cfRule type="cellIs" dxfId="348" priority="371" operator="notEqual">
      <formula>J90</formula>
    </cfRule>
  </conditionalFormatting>
  <conditionalFormatting sqref="I91">
    <cfRule type="cellIs" dxfId="347" priority="370" operator="notEqual">
      <formula>J91</formula>
    </cfRule>
  </conditionalFormatting>
  <conditionalFormatting sqref="I92">
    <cfRule type="cellIs" dxfId="346" priority="369" operator="notEqual">
      <formula>J92</formula>
    </cfRule>
  </conditionalFormatting>
  <conditionalFormatting sqref="I93">
    <cfRule type="cellIs" dxfId="345" priority="368" operator="notEqual">
      <formula>J93</formula>
    </cfRule>
  </conditionalFormatting>
  <conditionalFormatting sqref="I94">
    <cfRule type="cellIs" dxfId="344" priority="367" operator="notEqual">
      <formula>J94</formula>
    </cfRule>
  </conditionalFormatting>
  <conditionalFormatting sqref="I97">
    <cfRule type="cellIs" dxfId="343" priority="366" operator="notEqual">
      <formula>J97</formula>
    </cfRule>
  </conditionalFormatting>
  <conditionalFormatting sqref="I98">
    <cfRule type="cellIs" dxfId="342" priority="365" operator="notEqual">
      <formula>J98</formula>
    </cfRule>
  </conditionalFormatting>
  <conditionalFormatting sqref="I99">
    <cfRule type="cellIs" dxfId="341" priority="364" operator="notEqual">
      <formula>J99</formula>
    </cfRule>
  </conditionalFormatting>
  <conditionalFormatting sqref="I100">
    <cfRule type="cellIs" dxfId="340" priority="363" operator="notEqual">
      <formula>J100</formula>
    </cfRule>
  </conditionalFormatting>
  <conditionalFormatting sqref="I101">
    <cfRule type="cellIs" dxfId="339" priority="362" operator="notEqual">
      <formula>J101</formula>
    </cfRule>
  </conditionalFormatting>
  <conditionalFormatting sqref="I102">
    <cfRule type="cellIs" dxfId="338" priority="361" operator="notEqual">
      <formula>J102</formula>
    </cfRule>
  </conditionalFormatting>
  <conditionalFormatting sqref="I103">
    <cfRule type="cellIs" dxfId="337" priority="360" operator="notEqual">
      <formula>J103</formula>
    </cfRule>
  </conditionalFormatting>
  <conditionalFormatting sqref="I104">
    <cfRule type="cellIs" dxfId="336" priority="359" operator="notEqual">
      <formula>J104</formula>
    </cfRule>
  </conditionalFormatting>
  <conditionalFormatting sqref="I105">
    <cfRule type="cellIs" dxfId="335" priority="358" operator="notEqual">
      <formula>J105</formula>
    </cfRule>
  </conditionalFormatting>
  <conditionalFormatting sqref="I106">
    <cfRule type="cellIs" dxfId="334" priority="357" operator="notEqual">
      <formula>J106</formula>
    </cfRule>
  </conditionalFormatting>
  <conditionalFormatting sqref="I108">
    <cfRule type="cellIs" dxfId="333" priority="356" operator="notEqual">
      <formula>J108</formula>
    </cfRule>
  </conditionalFormatting>
  <conditionalFormatting sqref="I109">
    <cfRule type="cellIs" dxfId="332" priority="355" operator="notEqual">
      <formula>J109</formula>
    </cfRule>
  </conditionalFormatting>
  <conditionalFormatting sqref="I110">
    <cfRule type="cellIs" dxfId="331" priority="354" operator="notEqual">
      <formula>J110</formula>
    </cfRule>
  </conditionalFormatting>
  <conditionalFormatting sqref="I111">
    <cfRule type="cellIs" dxfId="330" priority="353" operator="notEqual">
      <formula>J111</formula>
    </cfRule>
  </conditionalFormatting>
  <conditionalFormatting sqref="I112">
    <cfRule type="cellIs" dxfId="329" priority="352" operator="notEqual">
      <formula>J112</formula>
    </cfRule>
  </conditionalFormatting>
  <conditionalFormatting sqref="I113">
    <cfRule type="cellIs" dxfId="328" priority="351" operator="notEqual">
      <formula>J113</formula>
    </cfRule>
  </conditionalFormatting>
  <conditionalFormatting sqref="I114">
    <cfRule type="cellIs" dxfId="327" priority="350" operator="notEqual">
      <formula>J114</formula>
    </cfRule>
  </conditionalFormatting>
  <conditionalFormatting sqref="I115">
    <cfRule type="cellIs" dxfId="326" priority="349" operator="notEqual">
      <formula>J115</formula>
    </cfRule>
  </conditionalFormatting>
  <conditionalFormatting sqref="I117">
    <cfRule type="cellIs" dxfId="325" priority="348" operator="notEqual">
      <formula>J117</formula>
    </cfRule>
  </conditionalFormatting>
  <conditionalFormatting sqref="I123">
    <cfRule type="cellIs" dxfId="324" priority="347" operator="notEqual">
      <formula>J123</formula>
    </cfRule>
  </conditionalFormatting>
  <conditionalFormatting sqref="I124">
    <cfRule type="cellIs" dxfId="323" priority="346" operator="notEqual">
      <formula>J124</formula>
    </cfRule>
  </conditionalFormatting>
  <conditionalFormatting sqref="I125">
    <cfRule type="cellIs" dxfId="322" priority="345" operator="notEqual">
      <formula>J125</formula>
    </cfRule>
  </conditionalFormatting>
  <conditionalFormatting sqref="I126">
    <cfRule type="cellIs" dxfId="321" priority="344" operator="notEqual">
      <formula>J126</formula>
    </cfRule>
  </conditionalFormatting>
  <conditionalFormatting sqref="I127">
    <cfRule type="cellIs" dxfId="320" priority="343" operator="notEqual">
      <formula>J127</formula>
    </cfRule>
  </conditionalFormatting>
  <conditionalFormatting sqref="I128">
    <cfRule type="cellIs" dxfId="319" priority="342" operator="notEqual">
      <formula>J128</formula>
    </cfRule>
  </conditionalFormatting>
  <conditionalFormatting sqref="I129">
    <cfRule type="cellIs" dxfId="318" priority="341" operator="notEqual">
      <formula>J129</formula>
    </cfRule>
  </conditionalFormatting>
  <conditionalFormatting sqref="I130">
    <cfRule type="cellIs" dxfId="317" priority="340" operator="notEqual">
      <formula>J130</formula>
    </cfRule>
  </conditionalFormatting>
  <conditionalFormatting sqref="I131">
    <cfRule type="cellIs" dxfId="316" priority="339" operator="notEqual">
      <formula>J131</formula>
    </cfRule>
  </conditionalFormatting>
  <conditionalFormatting sqref="I132">
    <cfRule type="cellIs" dxfId="315" priority="338" operator="notEqual">
      <formula>J132</formula>
    </cfRule>
  </conditionalFormatting>
  <conditionalFormatting sqref="I134">
    <cfRule type="cellIs" dxfId="314" priority="337" operator="notEqual">
      <formula>J134</formula>
    </cfRule>
  </conditionalFormatting>
  <conditionalFormatting sqref="I135">
    <cfRule type="cellIs" dxfId="313" priority="336" operator="notEqual">
      <formula>J135</formula>
    </cfRule>
  </conditionalFormatting>
  <conditionalFormatting sqref="I136">
    <cfRule type="cellIs" dxfId="312" priority="335" operator="notEqual">
      <formula>J136</formula>
    </cfRule>
  </conditionalFormatting>
  <conditionalFormatting sqref="I137">
    <cfRule type="cellIs" dxfId="311" priority="334" operator="notEqual">
      <formula>J137</formula>
    </cfRule>
  </conditionalFormatting>
  <conditionalFormatting sqref="I138">
    <cfRule type="cellIs" dxfId="310" priority="333" operator="notEqual">
      <formula>J138</formula>
    </cfRule>
  </conditionalFormatting>
  <conditionalFormatting sqref="I139">
    <cfRule type="cellIs" dxfId="309" priority="332" operator="notEqual">
      <formula>J139</formula>
    </cfRule>
  </conditionalFormatting>
  <conditionalFormatting sqref="I140">
    <cfRule type="cellIs" dxfId="308" priority="331" operator="notEqual">
      <formula>J140</formula>
    </cfRule>
  </conditionalFormatting>
  <conditionalFormatting sqref="I141">
    <cfRule type="cellIs" dxfId="307" priority="330" operator="notEqual">
      <formula>J141</formula>
    </cfRule>
  </conditionalFormatting>
  <conditionalFormatting sqref="I142">
    <cfRule type="cellIs" dxfId="306" priority="329" operator="notEqual">
      <formula>J142</formula>
    </cfRule>
  </conditionalFormatting>
  <conditionalFormatting sqref="I143">
    <cfRule type="cellIs" dxfId="305" priority="328" operator="notEqual">
      <formula>J143</formula>
    </cfRule>
  </conditionalFormatting>
  <conditionalFormatting sqref="I144">
    <cfRule type="cellIs" dxfId="304" priority="327" operator="notEqual">
      <formula>J144</formula>
    </cfRule>
  </conditionalFormatting>
  <conditionalFormatting sqref="I21">
    <cfRule type="cellIs" dxfId="303" priority="326" operator="notEqual">
      <formula>J21</formula>
    </cfRule>
  </conditionalFormatting>
  <conditionalFormatting sqref="I22">
    <cfRule type="cellIs" dxfId="302" priority="325" operator="notEqual">
      <formula>J22</formula>
    </cfRule>
  </conditionalFormatting>
  <conditionalFormatting sqref="I23">
    <cfRule type="cellIs" dxfId="301" priority="324" operator="notEqual">
      <formula>J23</formula>
    </cfRule>
  </conditionalFormatting>
  <conditionalFormatting sqref="I24">
    <cfRule type="cellIs" dxfId="300" priority="323" operator="notEqual">
      <formula>J24</formula>
    </cfRule>
  </conditionalFormatting>
  <conditionalFormatting sqref="I60">
    <cfRule type="cellIs" dxfId="299" priority="322" operator="notEqual">
      <formula>J60</formula>
    </cfRule>
  </conditionalFormatting>
  <conditionalFormatting sqref="I36">
    <cfRule type="cellIs" dxfId="298" priority="312" operator="lessThan">
      <formula>120</formula>
    </cfRule>
    <cfRule type="cellIs" dxfId="297" priority="313" operator="greaterThan">
      <formula>150</formula>
    </cfRule>
  </conditionalFormatting>
  <conditionalFormatting sqref="I37">
    <cfRule type="cellIs" dxfId="296" priority="309" operator="lessThan">
      <formula>120</formula>
    </cfRule>
    <cfRule type="cellIs" dxfId="295" priority="311" operator="greaterThan">
      <formula>150</formula>
    </cfRule>
  </conditionalFormatting>
  <conditionalFormatting sqref="I119">
    <cfRule type="cellIs" dxfId="294" priority="295" operator="notEqual">
      <formula>J119</formula>
    </cfRule>
  </conditionalFormatting>
  <conditionalFormatting sqref="I120">
    <cfRule type="cellIs" dxfId="293" priority="294" operator="notEqual">
      <formula>J120</formula>
    </cfRule>
  </conditionalFormatting>
  <conditionalFormatting sqref="I121">
    <cfRule type="cellIs" dxfId="292" priority="293" operator="notEqual">
      <formula>J121</formula>
    </cfRule>
  </conditionalFormatting>
  <conditionalFormatting sqref="H13 H95 H116">
    <cfRule type="cellIs" dxfId="291" priority="292" operator="notEqual">
      <formula>I13</formula>
    </cfRule>
  </conditionalFormatting>
  <conditionalFormatting sqref="H10">
    <cfRule type="cellIs" dxfId="290" priority="291" operator="notEqual">
      <formula>I10</formula>
    </cfRule>
  </conditionalFormatting>
  <conditionalFormatting sqref="H11">
    <cfRule type="cellIs" dxfId="289" priority="290" operator="notEqual">
      <formula>I11</formula>
    </cfRule>
  </conditionalFormatting>
  <conditionalFormatting sqref="H12">
    <cfRule type="cellIs" dxfId="288" priority="289" operator="notEqual">
      <formula>I12</formula>
    </cfRule>
  </conditionalFormatting>
  <conditionalFormatting sqref="H14">
    <cfRule type="cellIs" dxfId="287" priority="288" operator="notEqual">
      <formula>I14</formula>
    </cfRule>
  </conditionalFormatting>
  <conditionalFormatting sqref="H15">
    <cfRule type="cellIs" dxfId="286" priority="287" operator="notEqual">
      <formula>I15</formula>
    </cfRule>
  </conditionalFormatting>
  <conditionalFormatting sqref="H16">
    <cfRule type="cellIs" dxfId="285" priority="286" operator="notEqual">
      <formula>I16</formula>
    </cfRule>
  </conditionalFormatting>
  <conditionalFormatting sqref="H17">
    <cfRule type="cellIs" dxfId="284" priority="285" operator="notEqual">
      <formula>I17</formula>
    </cfRule>
  </conditionalFormatting>
  <conditionalFormatting sqref="H18">
    <cfRule type="cellIs" dxfId="283" priority="284" operator="notEqual">
      <formula>I18</formula>
    </cfRule>
  </conditionalFormatting>
  <conditionalFormatting sqref="H20">
    <cfRule type="cellIs" dxfId="282" priority="283" operator="notEqual">
      <formula>I20</formula>
    </cfRule>
  </conditionalFormatting>
  <conditionalFormatting sqref="H25">
    <cfRule type="cellIs" dxfId="281" priority="282" operator="notEqual">
      <formula>I25</formula>
    </cfRule>
  </conditionalFormatting>
  <conditionalFormatting sqref="H26">
    <cfRule type="cellIs" dxfId="280" priority="281" operator="notEqual">
      <formula>I26</formula>
    </cfRule>
  </conditionalFormatting>
  <conditionalFormatting sqref="H27">
    <cfRule type="cellIs" dxfId="279" priority="280" operator="notEqual">
      <formula>I27</formula>
    </cfRule>
  </conditionalFormatting>
  <conditionalFormatting sqref="H28">
    <cfRule type="cellIs" dxfId="278" priority="279" operator="notEqual">
      <formula>I28</formula>
    </cfRule>
  </conditionalFormatting>
  <conditionalFormatting sqref="H29">
    <cfRule type="cellIs" dxfId="277" priority="278" operator="notEqual">
      <formula>I29</formula>
    </cfRule>
  </conditionalFormatting>
  <conditionalFormatting sqref="H31">
    <cfRule type="cellIs" dxfId="276" priority="173" operator="lessThan">
      <formula>17</formula>
    </cfRule>
    <cfRule type="cellIs" dxfId="275" priority="175" operator="greaterThan">
      <formula>47</formula>
    </cfRule>
    <cfRule type="cellIs" dxfId="274" priority="277" operator="notEqual">
      <formula>I31</formula>
    </cfRule>
  </conditionalFormatting>
  <conditionalFormatting sqref="H32">
    <cfRule type="cellIs" dxfId="273" priority="172" operator="lessThan">
      <formula>17</formula>
    </cfRule>
    <cfRule type="cellIs" dxfId="272" priority="174" operator="greaterThan">
      <formula>47</formula>
    </cfRule>
    <cfRule type="cellIs" dxfId="271" priority="276" operator="notEqual">
      <formula>I32</formula>
    </cfRule>
  </conditionalFormatting>
  <conditionalFormatting sqref="H33">
    <cfRule type="cellIs" dxfId="270" priority="169" operator="lessThan">
      <formula>21</formula>
    </cfRule>
    <cfRule type="cellIs" dxfId="269" priority="171" operator="greaterThan">
      <formula>66</formula>
    </cfRule>
    <cfRule type="cellIs" dxfId="268" priority="275" operator="notEqual">
      <formula>I33</formula>
    </cfRule>
  </conditionalFormatting>
  <conditionalFormatting sqref="H34">
    <cfRule type="cellIs" dxfId="267" priority="168" operator="lessThan">
      <formula>21</formula>
    </cfRule>
    <cfRule type="cellIs" dxfId="266" priority="170" operator="greaterThan">
      <formula>66</formula>
    </cfRule>
    <cfRule type="cellIs" dxfId="265" priority="274" operator="notEqual">
      <formula>I34</formula>
    </cfRule>
  </conditionalFormatting>
  <conditionalFormatting sqref="H35">
    <cfRule type="cellIs" dxfId="264" priority="273" operator="notEqual">
      <formula>I35</formula>
    </cfRule>
  </conditionalFormatting>
  <conditionalFormatting sqref="H36:H37">
    <cfRule type="cellIs" dxfId="263" priority="272" operator="notEqual">
      <formula>H36</formula>
    </cfRule>
  </conditionalFormatting>
  <conditionalFormatting sqref="H38">
    <cfRule type="cellIs" dxfId="262" priority="162" operator="greaterThan">
      <formula>385</formula>
    </cfRule>
    <cfRule type="cellIs" dxfId="261" priority="164" operator="lessThan">
      <formula>340</formula>
    </cfRule>
    <cfRule type="cellIs" dxfId="260" priority="271" operator="notEqual">
      <formula>I38</formula>
    </cfRule>
  </conditionalFormatting>
  <conditionalFormatting sqref="H39">
    <cfRule type="cellIs" dxfId="259" priority="270" operator="notEqual">
      <formula>I39</formula>
    </cfRule>
  </conditionalFormatting>
  <conditionalFormatting sqref="H40">
    <cfRule type="cellIs" dxfId="258" priority="269" operator="notEqual">
      <formula>I40</formula>
    </cfRule>
  </conditionalFormatting>
  <conditionalFormatting sqref="H41">
    <cfRule type="cellIs" dxfId="257" priority="268" operator="notEqual">
      <formula>I41</formula>
    </cfRule>
  </conditionalFormatting>
  <conditionalFormatting sqref="H42">
    <cfRule type="cellIs" dxfId="256" priority="267" operator="notEqual">
      <formula>I42</formula>
    </cfRule>
  </conditionalFormatting>
  <conditionalFormatting sqref="H44">
    <cfRule type="cellIs" dxfId="255" priority="155" operator="greaterThan">
      <formula>-0.2</formula>
    </cfRule>
    <cfRule type="cellIs" dxfId="254" priority="161" operator="lessThan">
      <formula>-6.4</formula>
    </cfRule>
    <cfRule type="cellIs" dxfId="253" priority="266" operator="notEqual">
      <formula>I44</formula>
    </cfRule>
  </conditionalFormatting>
  <conditionalFormatting sqref="H45">
    <cfRule type="cellIs" dxfId="252" priority="154" operator="greaterThan">
      <formula>-0.2</formula>
    </cfRule>
    <cfRule type="cellIs" dxfId="251" priority="160" operator="lessThan">
      <formula>-6.4</formula>
    </cfRule>
    <cfRule type="cellIs" dxfId="250" priority="265" operator="notEqual">
      <formula>I45</formula>
    </cfRule>
  </conditionalFormatting>
  <conditionalFormatting sqref="H46">
    <cfRule type="cellIs" dxfId="249" priority="157" operator="greaterThan">
      <formula>-1</formula>
    </cfRule>
    <cfRule type="cellIs" dxfId="248" priority="159" operator="lessThan">
      <formula>-2</formula>
    </cfRule>
    <cfRule type="cellIs" dxfId="247" priority="264" operator="notEqual">
      <formula>I46</formula>
    </cfRule>
  </conditionalFormatting>
  <conditionalFormatting sqref="H47">
    <cfRule type="cellIs" dxfId="246" priority="156" operator="greaterThan">
      <formula>-1</formula>
    </cfRule>
    <cfRule type="cellIs" dxfId="245" priority="158" operator="lessThan">
      <formula>-2</formula>
    </cfRule>
    <cfRule type="cellIs" dxfId="244" priority="263" operator="notEqual">
      <formula>I47</formula>
    </cfRule>
  </conditionalFormatting>
  <conditionalFormatting sqref="H48">
    <cfRule type="cellIs" dxfId="243" priority="153" operator="greaterThan">
      <formula>28.5</formula>
    </cfRule>
    <cfRule type="cellIs" dxfId="242" priority="262" operator="notEqual">
      <formula>I48</formula>
    </cfRule>
  </conditionalFormatting>
  <conditionalFormatting sqref="H49">
    <cfRule type="cellIs" dxfId="241" priority="152" operator="greaterThan">
      <formula>28.5</formula>
    </cfRule>
    <cfRule type="cellIs" dxfId="240" priority="261" operator="notEqual">
      <formula>I49</formula>
    </cfRule>
  </conditionalFormatting>
  <conditionalFormatting sqref="H50">
    <cfRule type="cellIs" dxfId="239" priority="151" operator="greaterThan">
      <formula>6.5</formula>
    </cfRule>
    <cfRule type="cellIs" dxfId="238" priority="260" operator="notEqual">
      <formula>I50</formula>
    </cfRule>
  </conditionalFormatting>
  <conditionalFormatting sqref="H51">
    <cfRule type="cellIs" dxfId="237" priority="150" operator="greaterThan">
      <formula>6.5</formula>
    </cfRule>
    <cfRule type="cellIs" dxfId="236" priority="259" operator="notEqual">
      <formula>I51</formula>
    </cfRule>
  </conditionalFormatting>
  <conditionalFormatting sqref="H53">
    <cfRule type="cellIs" dxfId="235" priority="258" operator="notEqual">
      <formula>I53</formula>
    </cfRule>
  </conditionalFormatting>
  <conditionalFormatting sqref="H54">
    <cfRule type="cellIs" dxfId="234" priority="257" operator="notEqual">
      <formula>I54</formula>
    </cfRule>
  </conditionalFormatting>
  <conditionalFormatting sqref="H55">
    <cfRule type="cellIs" dxfId="233" priority="256" operator="notEqual">
      <formula>I55</formula>
    </cfRule>
  </conditionalFormatting>
  <conditionalFormatting sqref="H56">
    <cfRule type="cellIs" dxfId="232" priority="255" operator="notEqual">
      <formula>I56</formula>
    </cfRule>
  </conditionalFormatting>
  <conditionalFormatting sqref="H58">
    <cfRule type="cellIs" dxfId="231" priority="254" operator="notEqual">
      <formula>I58</formula>
    </cfRule>
  </conditionalFormatting>
  <conditionalFormatting sqref="H59">
    <cfRule type="cellIs" dxfId="230" priority="253" operator="notEqual">
      <formula>I59</formula>
    </cfRule>
  </conditionalFormatting>
  <conditionalFormatting sqref="H61">
    <cfRule type="cellIs" dxfId="229" priority="252" operator="notEqual">
      <formula>I61</formula>
    </cfRule>
  </conditionalFormatting>
  <conditionalFormatting sqref="H62">
    <cfRule type="cellIs" dxfId="228" priority="251" operator="notEqual">
      <formula>I62</formula>
    </cfRule>
  </conditionalFormatting>
  <conditionalFormatting sqref="H63">
    <cfRule type="cellIs" dxfId="227" priority="250" operator="notEqual">
      <formula>I63</formula>
    </cfRule>
  </conditionalFormatting>
  <conditionalFormatting sqref="H64">
    <cfRule type="cellIs" dxfId="226" priority="249" operator="notEqual">
      <formula>I64</formula>
    </cfRule>
  </conditionalFormatting>
  <conditionalFormatting sqref="H65">
    <cfRule type="cellIs" dxfId="225" priority="248" operator="notEqual">
      <formula>I65</formula>
    </cfRule>
  </conditionalFormatting>
  <conditionalFormatting sqref="H66">
    <cfRule type="cellIs" dxfId="224" priority="247" operator="notEqual">
      <formula>I66</formula>
    </cfRule>
  </conditionalFormatting>
  <conditionalFormatting sqref="H67">
    <cfRule type="cellIs" dxfId="223" priority="246" operator="notEqual">
      <formula>I67</formula>
    </cfRule>
  </conditionalFormatting>
  <conditionalFormatting sqref="H68">
    <cfRule type="cellIs" dxfId="222" priority="245" operator="notEqual">
      <formula>I68</formula>
    </cfRule>
  </conditionalFormatting>
  <conditionalFormatting sqref="H69">
    <cfRule type="cellIs" dxfId="221" priority="244" operator="notEqual">
      <formula>I69</formula>
    </cfRule>
  </conditionalFormatting>
  <conditionalFormatting sqref="H70">
    <cfRule type="cellIs" dxfId="220" priority="243" operator="notEqual">
      <formula>I70</formula>
    </cfRule>
  </conditionalFormatting>
  <conditionalFormatting sqref="H71">
    <cfRule type="cellIs" dxfId="219" priority="242" operator="notEqual">
      <formula>I71</formula>
    </cfRule>
  </conditionalFormatting>
  <conditionalFormatting sqref="H72">
    <cfRule type="cellIs" dxfId="218" priority="241" operator="notEqual">
      <formula>I72</formula>
    </cfRule>
  </conditionalFormatting>
  <conditionalFormatting sqref="H74">
    <cfRule type="cellIs" dxfId="217" priority="240" operator="notEqual">
      <formula>I74</formula>
    </cfRule>
  </conditionalFormatting>
  <conditionalFormatting sqref="H75">
    <cfRule type="cellIs" dxfId="216" priority="239" operator="notEqual">
      <formula>I75</formula>
    </cfRule>
  </conditionalFormatting>
  <conditionalFormatting sqref="H76">
    <cfRule type="cellIs" dxfId="215" priority="238" operator="notEqual">
      <formula>I76</formula>
    </cfRule>
  </conditionalFormatting>
  <conditionalFormatting sqref="H77">
    <cfRule type="cellIs" dxfId="214" priority="237" operator="notEqual">
      <formula>I77</formula>
    </cfRule>
  </conditionalFormatting>
  <conditionalFormatting sqref="H78">
    <cfRule type="cellIs" dxfId="213" priority="236" operator="notEqual">
      <formula>I78</formula>
    </cfRule>
  </conditionalFormatting>
  <conditionalFormatting sqref="H79">
    <cfRule type="cellIs" dxfId="212" priority="235" operator="notEqual">
      <formula>I79</formula>
    </cfRule>
  </conditionalFormatting>
  <conditionalFormatting sqref="H80">
    <cfRule type="cellIs" dxfId="211" priority="234" operator="notEqual">
      <formula>I80</formula>
    </cfRule>
  </conditionalFormatting>
  <conditionalFormatting sqref="H81">
    <cfRule type="cellIs" dxfId="210" priority="233" operator="notEqual">
      <formula>I81</formula>
    </cfRule>
  </conditionalFormatting>
  <conditionalFormatting sqref="H82">
    <cfRule type="cellIs" dxfId="209" priority="232" operator="notEqual">
      <formula>I82</formula>
    </cfRule>
  </conditionalFormatting>
  <conditionalFormatting sqref="H83">
    <cfRule type="cellIs" dxfId="208" priority="231" operator="notEqual">
      <formula>I83</formula>
    </cfRule>
  </conditionalFormatting>
  <conditionalFormatting sqref="H84">
    <cfRule type="cellIs" dxfId="207" priority="230" operator="notEqual">
      <formula>I84</formula>
    </cfRule>
  </conditionalFormatting>
  <conditionalFormatting sqref="H85">
    <cfRule type="cellIs" dxfId="206" priority="229" operator="notEqual">
      <formula>I85</formula>
    </cfRule>
  </conditionalFormatting>
  <conditionalFormatting sqref="H86">
    <cfRule type="cellIs" dxfId="205" priority="228" operator="notEqual">
      <formula>I86</formula>
    </cfRule>
  </conditionalFormatting>
  <conditionalFormatting sqref="H87">
    <cfRule type="cellIs" dxfId="204" priority="227" operator="notEqual">
      <formula>I87</formula>
    </cfRule>
  </conditionalFormatting>
  <conditionalFormatting sqref="H88">
    <cfRule type="cellIs" dxfId="203" priority="226" operator="notEqual">
      <formula>I88</formula>
    </cfRule>
  </conditionalFormatting>
  <conditionalFormatting sqref="H90">
    <cfRule type="cellIs" dxfId="202" priority="225" operator="notEqual">
      <formula>I90</formula>
    </cfRule>
  </conditionalFormatting>
  <conditionalFormatting sqref="H91">
    <cfRule type="cellIs" dxfId="201" priority="224" operator="notEqual">
      <formula>I91</formula>
    </cfRule>
  </conditionalFormatting>
  <conditionalFormatting sqref="H92">
    <cfRule type="cellIs" dxfId="200" priority="223" operator="notEqual">
      <formula>I92</formula>
    </cfRule>
  </conditionalFormatting>
  <conditionalFormatting sqref="H93">
    <cfRule type="cellIs" dxfId="199" priority="222" operator="notEqual">
      <formula>I93</formula>
    </cfRule>
  </conditionalFormatting>
  <conditionalFormatting sqref="H94">
    <cfRule type="cellIs" dxfId="198" priority="221" operator="notEqual">
      <formula>I94</formula>
    </cfRule>
  </conditionalFormatting>
  <conditionalFormatting sqref="H97">
    <cfRule type="cellIs" dxfId="197" priority="220" operator="notEqual">
      <formula>I97</formula>
    </cfRule>
  </conditionalFormatting>
  <conditionalFormatting sqref="H98">
    <cfRule type="cellIs" dxfId="196" priority="219" operator="notEqual">
      <formula>I98</formula>
    </cfRule>
  </conditionalFormatting>
  <conditionalFormatting sqref="H99">
    <cfRule type="cellIs" dxfId="195" priority="218" operator="notEqual">
      <formula>I99</formula>
    </cfRule>
  </conditionalFormatting>
  <conditionalFormatting sqref="H100">
    <cfRule type="cellIs" dxfId="194" priority="217" operator="notEqual">
      <formula>I100</formula>
    </cfRule>
  </conditionalFormatting>
  <conditionalFormatting sqref="H101">
    <cfRule type="cellIs" dxfId="193" priority="216" operator="notEqual">
      <formula>I101</formula>
    </cfRule>
  </conditionalFormatting>
  <conditionalFormatting sqref="H102">
    <cfRule type="cellIs" dxfId="192" priority="215" operator="notEqual">
      <formula>I102</formula>
    </cfRule>
  </conditionalFormatting>
  <conditionalFormatting sqref="H103">
    <cfRule type="cellIs" dxfId="191" priority="214" operator="notEqual">
      <formula>I103</formula>
    </cfRule>
  </conditionalFormatting>
  <conditionalFormatting sqref="H104">
    <cfRule type="cellIs" dxfId="190" priority="213" operator="notEqual">
      <formula>I104</formula>
    </cfRule>
  </conditionalFormatting>
  <conditionalFormatting sqref="H105">
    <cfRule type="cellIs" dxfId="189" priority="212" operator="notEqual">
      <formula>I105</formula>
    </cfRule>
  </conditionalFormatting>
  <conditionalFormatting sqref="H106">
    <cfRule type="cellIs" dxfId="188" priority="211" operator="notEqual">
      <formula>I106</formula>
    </cfRule>
  </conditionalFormatting>
  <conditionalFormatting sqref="H108">
    <cfRule type="cellIs" dxfId="187" priority="210" operator="notEqual">
      <formula>I108</formula>
    </cfRule>
  </conditionalFormatting>
  <conditionalFormatting sqref="H109">
    <cfRule type="cellIs" dxfId="186" priority="209" operator="notEqual">
      <formula>I109</formula>
    </cfRule>
  </conditionalFormatting>
  <conditionalFormatting sqref="H110">
    <cfRule type="cellIs" dxfId="185" priority="208" operator="notEqual">
      <formula>I110</formula>
    </cfRule>
  </conditionalFormatting>
  <conditionalFormatting sqref="H111">
    <cfRule type="cellIs" dxfId="184" priority="207" operator="notEqual">
      <formula>I111</formula>
    </cfRule>
  </conditionalFormatting>
  <conditionalFormatting sqref="H112">
    <cfRule type="cellIs" dxfId="183" priority="206" operator="notEqual">
      <formula>I112</formula>
    </cfRule>
  </conditionalFormatting>
  <conditionalFormatting sqref="H113">
    <cfRule type="cellIs" dxfId="182" priority="205" operator="notEqual">
      <formula>I113</formula>
    </cfRule>
  </conditionalFormatting>
  <conditionalFormatting sqref="H114">
    <cfRule type="cellIs" dxfId="181" priority="204" operator="notEqual">
      <formula>I114</formula>
    </cfRule>
  </conditionalFormatting>
  <conditionalFormatting sqref="H115">
    <cfRule type="cellIs" dxfId="180" priority="203" operator="notEqual">
      <formula>I115</formula>
    </cfRule>
  </conditionalFormatting>
  <conditionalFormatting sqref="H117">
    <cfRule type="cellIs" dxfId="179" priority="202" operator="notEqual">
      <formula>I117</formula>
    </cfRule>
  </conditionalFormatting>
  <conditionalFormatting sqref="H123">
    <cfRule type="cellIs" dxfId="178" priority="201" operator="notEqual">
      <formula>I123</formula>
    </cfRule>
  </conditionalFormatting>
  <conditionalFormatting sqref="H124">
    <cfRule type="cellIs" dxfId="177" priority="200" operator="notEqual">
      <formula>I124</formula>
    </cfRule>
  </conditionalFormatting>
  <conditionalFormatting sqref="H125">
    <cfRule type="cellIs" dxfId="176" priority="199" operator="notEqual">
      <formula>I125</formula>
    </cfRule>
  </conditionalFormatting>
  <conditionalFormatting sqref="H126">
    <cfRule type="cellIs" dxfId="175" priority="198" operator="notEqual">
      <formula>I126</formula>
    </cfRule>
  </conditionalFormatting>
  <conditionalFormatting sqref="H127">
    <cfRule type="cellIs" dxfId="174" priority="197" operator="notEqual">
      <formula>I127</formula>
    </cfRule>
  </conditionalFormatting>
  <conditionalFormatting sqref="H128">
    <cfRule type="cellIs" dxfId="173" priority="196" operator="notEqual">
      <formula>I128</formula>
    </cfRule>
  </conditionalFormatting>
  <conditionalFormatting sqref="H129">
    <cfRule type="cellIs" dxfId="172" priority="195" operator="notEqual">
      <formula>I129</formula>
    </cfRule>
  </conditionalFormatting>
  <conditionalFormatting sqref="H130">
    <cfRule type="cellIs" dxfId="171" priority="194" operator="notEqual">
      <formula>I130</formula>
    </cfRule>
  </conditionalFormatting>
  <conditionalFormatting sqref="H131">
    <cfRule type="cellIs" dxfId="170" priority="193" operator="notEqual">
      <formula>I131</formula>
    </cfRule>
  </conditionalFormatting>
  <conditionalFormatting sqref="H132">
    <cfRule type="cellIs" dxfId="169" priority="192" operator="notEqual">
      <formula>I132</formula>
    </cfRule>
  </conditionalFormatting>
  <conditionalFormatting sqref="H134">
    <cfRule type="cellIs" dxfId="168" priority="191" operator="notEqual">
      <formula>I134</formula>
    </cfRule>
  </conditionalFormatting>
  <conditionalFormatting sqref="H135">
    <cfRule type="cellIs" dxfId="167" priority="190" operator="notEqual">
      <formula>I135</formula>
    </cfRule>
  </conditionalFormatting>
  <conditionalFormatting sqref="H136">
    <cfRule type="cellIs" dxfId="166" priority="189" operator="notEqual">
      <formula>I136</formula>
    </cfRule>
  </conditionalFormatting>
  <conditionalFormatting sqref="H137">
    <cfRule type="cellIs" dxfId="165" priority="188" operator="notEqual">
      <formula>I137</formula>
    </cfRule>
  </conditionalFormatting>
  <conditionalFormatting sqref="H138">
    <cfRule type="cellIs" dxfId="164" priority="187" operator="notEqual">
      <formula>I138</formula>
    </cfRule>
  </conditionalFormatting>
  <conditionalFormatting sqref="H139">
    <cfRule type="cellIs" dxfId="163" priority="186" operator="notEqual">
      <formula>I139</formula>
    </cfRule>
  </conditionalFormatting>
  <conditionalFormatting sqref="H140">
    <cfRule type="cellIs" dxfId="162" priority="185" operator="notEqual">
      <formula>I140</formula>
    </cfRule>
  </conditionalFormatting>
  <conditionalFormatting sqref="H141">
    <cfRule type="cellIs" dxfId="161" priority="184" operator="notEqual">
      <formula>I141</formula>
    </cfRule>
  </conditionalFormatting>
  <conditionalFormatting sqref="H142">
    <cfRule type="cellIs" dxfId="160" priority="183" operator="notEqual">
      <formula>I142</formula>
    </cfRule>
  </conditionalFormatting>
  <conditionalFormatting sqref="H143">
    <cfRule type="cellIs" dxfId="159" priority="182" operator="notEqual">
      <formula>I143</formula>
    </cfRule>
  </conditionalFormatting>
  <conditionalFormatting sqref="H144">
    <cfRule type="cellIs" dxfId="158" priority="181" operator="notEqual">
      <formula>I144</formula>
    </cfRule>
  </conditionalFormatting>
  <conditionalFormatting sqref="H21">
    <cfRule type="cellIs" dxfId="157" priority="180" operator="notEqual">
      <formula>I21</formula>
    </cfRule>
  </conditionalFormatting>
  <conditionalFormatting sqref="H22">
    <cfRule type="cellIs" dxfId="156" priority="179" operator="notEqual">
      <formula>I22</formula>
    </cfRule>
  </conditionalFormatting>
  <conditionalFormatting sqref="H23">
    <cfRule type="cellIs" dxfId="155" priority="178" operator="notEqual">
      <formula>I23</formula>
    </cfRule>
  </conditionalFormatting>
  <conditionalFormatting sqref="H24">
    <cfRule type="cellIs" dxfId="154" priority="177" operator="notEqual">
      <formula>I24</formula>
    </cfRule>
  </conditionalFormatting>
  <conditionalFormatting sqref="H60">
    <cfRule type="cellIs" dxfId="153" priority="176" operator="notEqual">
      <formula>I60</formula>
    </cfRule>
  </conditionalFormatting>
  <conditionalFormatting sqref="H36">
    <cfRule type="cellIs" dxfId="152" priority="166" operator="lessThan">
      <formula>120</formula>
    </cfRule>
    <cfRule type="cellIs" dxfId="151" priority="167" operator="greaterThan">
      <formula>150</formula>
    </cfRule>
  </conditionalFormatting>
  <conditionalFormatting sqref="H37">
    <cfRule type="cellIs" dxfId="150" priority="163" operator="lessThan">
      <formula>120</formula>
    </cfRule>
    <cfRule type="cellIs" dxfId="149" priority="165" operator="greaterThan">
      <formula>150</formula>
    </cfRule>
  </conditionalFormatting>
  <conditionalFormatting sqref="H119">
    <cfRule type="cellIs" dxfId="148" priority="149" operator="notEqual">
      <formula>I119</formula>
    </cfRule>
  </conditionalFormatting>
  <conditionalFormatting sqref="H120">
    <cfRule type="cellIs" dxfId="147" priority="148" operator="notEqual">
      <formula>I120</formula>
    </cfRule>
  </conditionalFormatting>
  <conditionalFormatting sqref="H121">
    <cfRule type="cellIs" dxfId="146" priority="147" operator="notEqual">
      <formula>I121</formula>
    </cfRule>
  </conditionalFormatting>
  <conditionalFormatting sqref="G13 G95 G116">
    <cfRule type="cellIs" dxfId="145" priority="146" operator="notEqual">
      <formula>H13</formula>
    </cfRule>
  </conditionalFormatting>
  <conditionalFormatting sqref="G10">
    <cfRule type="cellIs" dxfId="144" priority="145" operator="notEqual">
      <formula>H10</formula>
    </cfRule>
  </conditionalFormatting>
  <conditionalFormatting sqref="G11">
    <cfRule type="cellIs" dxfId="143" priority="144" operator="notEqual">
      <formula>H11</formula>
    </cfRule>
  </conditionalFormatting>
  <conditionalFormatting sqref="G12">
    <cfRule type="cellIs" dxfId="142" priority="143" operator="notEqual">
      <formula>H12</formula>
    </cfRule>
  </conditionalFormatting>
  <conditionalFormatting sqref="G14">
    <cfRule type="cellIs" dxfId="141" priority="142" operator="notEqual">
      <formula>H14</formula>
    </cfRule>
  </conditionalFormatting>
  <conditionalFormatting sqref="G15">
    <cfRule type="cellIs" dxfId="140" priority="141" operator="notEqual">
      <formula>H15</formula>
    </cfRule>
  </conditionalFormatting>
  <conditionalFormatting sqref="G16">
    <cfRule type="cellIs" dxfId="139" priority="140" operator="notEqual">
      <formula>H16</formula>
    </cfRule>
  </conditionalFormatting>
  <conditionalFormatting sqref="G17">
    <cfRule type="cellIs" dxfId="138" priority="139" operator="notEqual">
      <formula>H17</formula>
    </cfRule>
  </conditionalFormatting>
  <conditionalFormatting sqref="G18">
    <cfRule type="cellIs" dxfId="137" priority="138" operator="notEqual">
      <formula>H18</formula>
    </cfRule>
  </conditionalFormatting>
  <conditionalFormatting sqref="G20">
    <cfRule type="cellIs" dxfId="136" priority="137" operator="notEqual">
      <formula>H20</formula>
    </cfRule>
  </conditionalFormatting>
  <conditionalFormatting sqref="G25">
    <cfRule type="cellIs" dxfId="135" priority="136" operator="notEqual">
      <formula>H25</formula>
    </cfRule>
  </conditionalFormatting>
  <conditionalFormatting sqref="G26">
    <cfRule type="cellIs" dxfId="134" priority="135" operator="notEqual">
      <formula>H26</formula>
    </cfRule>
  </conditionalFormatting>
  <conditionalFormatting sqref="G27">
    <cfRule type="cellIs" dxfId="133" priority="134" operator="notEqual">
      <formula>H27</formula>
    </cfRule>
  </conditionalFormatting>
  <conditionalFormatting sqref="G28">
    <cfRule type="cellIs" dxfId="132" priority="133" operator="notEqual">
      <formula>H28</formula>
    </cfRule>
  </conditionalFormatting>
  <conditionalFormatting sqref="G29">
    <cfRule type="cellIs" dxfId="131" priority="132" operator="notEqual">
      <formula>H29</formula>
    </cfRule>
  </conditionalFormatting>
  <conditionalFormatting sqref="G31">
    <cfRule type="cellIs" dxfId="130" priority="27" operator="lessThan">
      <formula>17</formula>
    </cfRule>
    <cfRule type="cellIs" dxfId="129" priority="29" operator="greaterThan">
      <formula>47</formula>
    </cfRule>
    <cfRule type="cellIs" dxfId="128" priority="131" operator="notEqual">
      <formula>H31</formula>
    </cfRule>
  </conditionalFormatting>
  <conditionalFormatting sqref="G32">
    <cfRule type="cellIs" dxfId="127" priority="26" operator="lessThan">
      <formula>17</formula>
    </cfRule>
    <cfRule type="cellIs" dxfId="126" priority="28" operator="greaterThan">
      <formula>47</formula>
    </cfRule>
    <cfRule type="cellIs" dxfId="125" priority="130" operator="notEqual">
      <formula>H32</formula>
    </cfRule>
  </conditionalFormatting>
  <conditionalFormatting sqref="G33">
    <cfRule type="cellIs" dxfId="124" priority="23" operator="lessThan">
      <formula>21</formula>
    </cfRule>
    <cfRule type="cellIs" dxfId="123" priority="25" operator="greaterThan">
      <formula>66</formula>
    </cfRule>
    <cfRule type="cellIs" dxfId="122" priority="129" operator="notEqual">
      <formula>H33</formula>
    </cfRule>
  </conditionalFormatting>
  <conditionalFormatting sqref="G34">
    <cfRule type="cellIs" dxfId="121" priority="22" operator="lessThan">
      <formula>21</formula>
    </cfRule>
    <cfRule type="cellIs" dxfId="120" priority="24" operator="greaterThan">
      <formula>66</formula>
    </cfRule>
    <cfRule type="cellIs" dxfId="119" priority="128" operator="notEqual">
      <formula>H34</formula>
    </cfRule>
  </conditionalFormatting>
  <conditionalFormatting sqref="G35">
    <cfRule type="cellIs" dxfId="118" priority="127" operator="notEqual">
      <formula>H35</formula>
    </cfRule>
  </conditionalFormatting>
  <conditionalFormatting sqref="G36:G37">
    <cfRule type="cellIs" dxfId="117" priority="126" operator="notEqual">
      <formula>G36</formula>
    </cfRule>
  </conditionalFormatting>
  <conditionalFormatting sqref="G38">
    <cfRule type="cellIs" dxfId="116" priority="16" operator="greaterThan">
      <formula>385</formula>
    </cfRule>
    <cfRule type="cellIs" dxfId="115" priority="18" operator="lessThan">
      <formula>340</formula>
    </cfRule>
    <cfRule type="cellIs" dxfId="114" priority="125" operator="notEqual">
      <formula>H38</formula>
    </cfRule>
  </conditionalFormatting>
  <conditionalFormatting sqref="G39">
    <cfRule type="cellIs" dxfId="113" priority="124" operator="notEqual">
      <formula>H39</formula>
    </cfRule>
  </conditionalFormatting>
  <conditionalFormatting sqref="G40">
    <cfRule type="cellIs" dxfId="112" priority="123" operator="notEqual">
      <formula>H40</formula>
    </cfRule>
  </conditionalFormatting>
  <conditionalFormatting sqref="G41">
    <cfRule type="cellIs" dxfId="111" priority="122" operator="notEqual">
      <formula>H41</formula>
    </cfRule>
  </conditionalFormatting>
  <conditionalFormatting sqref="G42">
    <cfRule type="cellIs" dxfId="110" priority="121" operator="notEqual">
      <formula>H42</formula>
    </cfRule>
  </conditionalFormatting>
  <conditionalFormatting sqref="G44">
    <cfRule type="cellIs" dxfId="109" priority="9" operator="greaterThan">
      <formula>-0.2</formula>
    </cfRule>
    <cfRule type="cellIs" dxfId="108" priority="15" operator="lessThan">
      <formula>-6.4</formula>
    </cfRule>
    <cfRule type="cellIs" dxfId="107" priority="120" operator="notEqual">
      <formula>H44</formula>
    </cfRule>
  </conditionalFormatting>
  <conditionalFormatting sqref="G45">
    <cfRule type="cellIs" dxfId="106" priority="8" operator="greaterThan">
      <formula>-0.2</formula>
    </cfRule>
    <cfRule type="cellIs" dxfId="105" priority="14" operator="lessThan">
      <formula>-6.4</formula>
    </cfRule>
    <cfRule type="cellIs" dxfId="104" priority="119" operator="notEqual">
      <formula>H45</formula>
    </cfRule>
  </conditionalFormatting>
  <conditionalFormatting sqref="G46">
    <cfRule type="cellIs" dxfId="103" priority="11" operator="greaterThan">
      <formula>-1</formula>
    </cfRule>
    <cfRule type="cellIs" dxfId="102" priority="13" operator="lessThan">
      <formula>-2</formula>
    </cfRule>
    <cfRule type="cellIs" dxfId="101" priority="118" operator="notEqual">
      <formula>H46</formula>
    </cfRule>
  </conditionalFormatting>
  <conditionalFormatting sqref="G47">
    <cfRule type="cellIs" dxfId="100" priority="10" operator="greaterThan">
      <formula>-1</formula>
    </cfRule>
    <cfRule type="cellIs" dxfId="99" priority="12" operator="lessThan">
      <formula>-2</formula>
    </cfRule>
    <cfRule type="cellIs" dxfId="98" priority="117" operator="notEqual">
      <formula>H47</formula>
    </cfRule>
  </conditionalFormatting>
  <conditionalFormatting sqref="G48">
    <cfRule type="cellIs" dxfId="97" priority="7" operator="greaterThan">
      <formula>28.5</formula>
    </cfRule>
    <cfRule type="cellIs" dxfId="96" priority="116" operator="notEqual">
      <formula>H48</formula>
    </cfRule>
  </conditionalFormatting>
  <conditionalFormatting sqref="G49">
    <cfRule type="cellIs" dxfId="95" priority="6" operator="greaterThan">
      <formula>28.5</formula>
    </cfRule>
    <cfRule type="cellIs" dxfId="94" priority="115" operator="notEqual">
      <formula>H49</formula>
    </cfRule>
  </conditionalFormatting>
  <conditionalFormatting sqref="G50">
    <cfRule type="cellIs" dxfId="93" priority="5" operator="greaterThan">
      <formula>6.5</formula>
    </cfRule>
    <cfRule type="cellIs" dxfId="92" priority="114" operator="notEqual">
      <formula>H50</formula>
    </cfRule>
  </conditionalFormatting>
  <conditionalFormatting sqref="G51">
    <cfRule type="cellIs" dxfId="91" priority="4" operator="greaterThan">
      <formula>6.5</formula>
    </cfRule>
    <cfRule type="cellIs" dxfId="90" priority="113" operator="notEqual">
      <formula>H51</formula>
    </cfRule>
  </conditionalFormatting>
  <conditionalFormatting sqref="G53">
    <cfRule type="cellIs" dxfId="89" priority="112" operator="notEqual">
      <formula>H53</formula>
    </cfRule>
  </conditionalFormatting>
  <conditionalFormatting sqref="G54">
    <cfRule type="cellIs" dxfId="88" priority="111" operator="notEqual">
      <formula>H54</formula>
    </cfRule>
  </conditionalFormatting>
  <conditionalFormatting sqref="G55">
    <cfRule type="cellIs" dxfId="87" priority="110" operator="notEqual">
      <formula>H55</formula>
    </cfRule>
  </conditionalFormatting>
  <conditionalFormatting sqref="G56">
    <cfRule type="cellIs" dxfId="86" priority="109" operator="notEqual">
      <formula>H56</formula>
    </cfRule>
  </conditionalFormatting>
  <conditionalFormatting sqref="G58">
    <cfRule type="cellIs" dxfId="85" priority="108" operator="notEqual">
      <formula>H58</formula>
    </cfRule>
  </conditionalFormatting>
  <conditionalFormatting sqref="G59">
    <cfRule type="cellIs" dxfId="84" priority="107" operator="notEqual">
      <formula>H59</formula>
    </cfRule>
  </conditionalFormatting>
  <conditionalFormatting sqref="G61">
    <cfRule type="cellIs" dxfId="83" priority="106" operator="notEqual">
      <formula>H61</formula>
    </cfRule>
  </conditionalFormatting>
  <conditionalFormatting sqref="G62">
    <cfRule type="cellIs" dxfId="82" priority="105" operator="notEqual">
      <formula>H62</formula>
    </cfRule>
  </conditionalFormatting>
  <conditionalFormatting sqref="G63">
    <cfRule type="cellIs" dxfId="81" priority="104" operator="notEqual">
      <formula>H63</formula>
    </cfRule>
  </conditionalFormatting>
  <conditionalFormatting sqref="G64">
    <cfRule type="cellIs" dxfId="80" priority="103" operator="notEqual">
      <formula>H64</formula>
    </cfRule>
  </conditionalFormatting>
  <conditionalFormatting sqref="G65">
    <cfRule type="cellIs" dxfId="79" priority="102" operator="notEqual">
      <formula>H65</formula>
    </cfRule>
  </conditionalFormatting>
  <conditionalFormatting sqref="G66">
    <cfRule type="cellIs" dxfId="78" priority="101" operator="notEqual">
      <formula>H66</formula>
    </cfRule>
  </conditionalFormatting>
  <conditionalFormatting sqref="G67">
    <cfRule type="cellIs" dxfId="77" priority="100" operator="notEqual">
      <formula>H67</formula>
    </cfRule>
  </conditionalFormatting>
  <conditionalFormatting sqref="G68">
    <cfRule type="cellIs" dxfId="76" priority="99" operator="notEqual">
      <formula>H68</formula>
    </cfRule>
  </conditionalFormatting>
  <conditionalFormatting sqref="G69">
    <cfRule type="cellIs" dxfId="75" priority="98" operator="notEqual">
      <formula>H69</formula>
    </cfRule>
  </conditionalFormatting>
  <conditionalFormatting sqref="G70">
    <cfRule type="cellIs" dxfId="74" priority="97" operator="notEqual">
      <formula>H70</formula>
    </cfRule>
  </conditionalFormatting>
  <conditionalFormatting sqref="G71">
    <cfRule type="cellIs" dxfId="73" priority="96" operator="notEqual">
      <formula>H71</formula>
    </cfRule>
  </conditionalFormatting>
  <conditionalFormatting sqref="G72">
    <cfRule type="cellIs" dxfId="72" priority="95" operator="notEqual">
      <formula>H72</formula>
    </cfRule>
  </conditionalFormatting>
  <conditionalFormatting sqref="G74">
    <cfRule type="cellIs" dxfId="71" priority="94" operator="notEqual">
      <formula>H74</formula>
    </cfRule>
  </conditionalFormatting>
  <conditionalFormatting sqref="G75">
    <cfRule type="cellIs" dxfId="70" priority="93" operator="notEqual">
      <formula>H75</formula>
    </cfRule>
  </conditionalFormatting>
  <conditionalFormatting sqref="G76">
    <cfRule type="cellIs" dxfId="69" priority="92" operator="notEqual">
      <formula>H76</formula>
    </cfRule>
  </conditionalFormatting>
  <conditionalFormatting sqref="G77">
    <cfRule type="cellIs" dxfId="68" priority="91" operator="notEqual">
      <formula>H77</formula>
    </cfRule>
  </conditionalFormatting>
  <conditionalFormatting sqref="G78">
    <cfRule type="cellIs" dxfId="67" priority="90" operator="notEqual">
      <formula>H78</formula>
    </cfRule>
  </conditionalFormatting>
  <conditionalFormatting sqref="G79">
    <cfRule type="cellIs" dxfId="66" priority="89" operator="notEqual">
      <formula>H79</formula>
    </cfRule>
  </conditionalFormatting>
  <conditionalFormatting sqref="G80">
    <cfRule type="cellIs" dxfId="65" priority="88" operator="notEqual">
      <formula>H80</formula>
    </cfRule>
  </conditionalFormatting>
  <conditionalFormatting sqref="G81">
    <cfRule type="cellIs" dxfId="64" priority="87" operator="notEqual">
      <formula>H81</formula>
    </cfRule>
  </conditionalFormatting>
  <conditionalFormatting sqref="G82">
    <cfRule type="cellIs" dxfId="63" priority="86" operator="notEqual">
      <formula>H82</formula>
    </cfRule>
  </conditionalFormatting>
  <conditionalFormatting sqref="G83">
    <cfRule type="cellIs" dxfId="62" priority="85" operator="notEqual">
      <formula>H83</formula>
    </cfRule>
  </conditionalFormatting>
  <conditionalFormatting sqref="G84">
    <cfRule type="cellIs" dxfId="61" priority="84" operator="notEqual">
      <formula>H84</formula>
    </cfRule>
  </conditionalFormatting>
  <conditionalFormatting sqref="G85">
    <cfRule type="cellIs" dxfId="60" priority="83" operator="notEqual">
      <formula>H85</formula>
    </cfRule>
  </conditionalFormatting>
  <conditionalFormatting sqref="G86">
    <cfRule type="cellIs" dxfId="59" priority="82" operator="notEqual">
      <formula>H86</formula>
    </cfRule>
  </conditionalFormatting>
  <conditionalFormatting sqref="G87">
    <cfRule type="cellIs" dxfId="58" priority="81" operator="notEqual">
      <formula>H87</formula>
    </cfRule>
  </conditionalFormatting>
  <conditionalFormatting sqref="G88">
    <cfRule type="cellIs" dxfId="57" priority="80" operator="notEqual">
      <formula>H88</formula>
    </cfRule>
  </conditionalFormatting>
  <conditionalFormatting sqref="G90">
    <cfRule type="cellIs" dxfId="56" priority="79" operator="notEqual">
      <formula>H90</formula>
    </cfRule>
  </conditionalFormatting>
  <conditionalFormatting sqref="G91">
    <cfRule type="cellIs" dxfId="55" priority="78" operator="notEqual">
      <formula>H91</formula>
    </cfRule>
  </conditionalFormatting>
  <conditionalFormatting sqref="G92">
    <cfRule type="cellIs" dxfId="54" priority="77" operator="notEqual">
      <formula>H92</formula>
    </cfRule>
  </conditionalFormatting>
  <conditionalFormatting sqref="G93">
    <cfRule type="cellIs" dxfId="53" priority="76" operator="notEqual">
      <formula>H93</formula>
    </cfRule>
  </conditionalFormatting>
  <conditionalFormatting sqref="G94">
    <cfRule type="cellIs" dxfId="52" priority="75" operator="notEqual">
      <formula>H94</formula>
    </cfRule>
  </conditionalFormatting>
  <conditionalFormatting sqref="G97">
    <cfRule type="cellIs" dxfId="51" priority="74" operator="notEqual">
      <formula>H97</formula>
    </cfRule>
  </conditionalFormatting>
  <conditionalFormatting sqref="G98">
    <cfRule type="cellIs" dxfId="50" priority="73" operator="notEqual">
      <formula>H98</formula>
    </cfRule>
  </conditionalFormatting>
  <conditionalFormatting sqref="G99">
    <cfRule type="cellIs" dxfId="49" priority="72" operator="notEqual">
      <formula>H99</formula>
    </cfRule>
  </conditionalFormatting>
  <conditionalFormatting sqref="G100">
    <cfRule type="cellIs" dxfId="48" priority="71" operator="notEqual">
      <formula>H100</formula>
    </cfRule>
  </conditionalFormatting>
  <conditionalFormatting sqref="G101">
    <cfRule type="cellIs" dxfId="47" priority="70" operator="notEqual">
      <formula>H101</formula>
    </cfRule>
  </conditionalFormatting>
  <conditionalFormatting sqref="G102">
    <cfRule type="cellIs" dxfId="46" priority="69" operator="notEqual">
      <formula>H102</formula>
    </cfRule>
  </conditionalFormatting>
  <conditionalFormatting sqref="G103">
    <cfRule type="cellIs" dxfId="45" priority="68" operator="notEqual">
      <formula>H103</formula>
    </cfRule>
  </conditionalFormatting>
  <conditionalFormatting sqref="G104">
    <cfRule type="cellIs" dxfId="44" priority="67" operator="notEqual">
      <formula>H104</formula>
    </cfRule>
  </conditionalFormatting>
  <conditionalFormatting sqref="G105">
    <cfRule type="cellIs" dxfId="43" priority="66" operator="notEqual">
      <formula>H105</formula>
    </cfRule>
  </conditionalFormatting>
  <conditionalFormatting sqref="G106">
    <cfRule type="cellIs" dxfId="42" priority="65" operator="notEqual">
      <formula>H106</formula>
    </cfRule>
  </conditionalFormatting>
  <conditionalFormatting sqref="G108">
    <cfRule type="cellIs" dxfId="41" priority="64" operator="notEqual">
      <formula>H108</formula>
    </cfRule>
  </conditionalFormatting>
  <conditionalFormatting sqref="G109">
    <cfRule type="cellIs" dxfId="40" priority="63" operator="notEqual">
      <formula>H109</formula>
    </cfRule>
  </conditionalFormatting>
  <conditionalFormatting sqref="G110">
    <cfRule type="cellIs" dxfId="39" priority="62" operator="notEqual">
      <formula>H110</formula>
    </cfRule>
  </conditionalFormatting>
  <conditionalFormatting sqref="G111">
    <cfRule type="cellIs" dxfId="38" priority="61" operator="notEqual">
      <formula>H111</formula>
    </cfRule>
  </conditionalFormatting>
  <conditionalFormatting sqref="G112">
    <cfRule type="cellIs" dxfId="37" priority="60" operator="notEqual">
      <formula>H112</formula>
    </cfRule>
  </conditionalFormatting>
  <conditionalFormatting sqref="G113">
    <cfRule type="cellIs" dxfId="36" priority="59" operator="notEqual">
      <formula>H113</formula>
    </cfRule>
  </conditionalFormatting>
  <conditionalFormatting sqref="G114">
    <cfRule type="cellIs" dxfId="35" priority="58" operator="notEqual">
      <formula>H114</formula>
    </cfRule>
  </conditionalFormatting>
  <conditionalFormatting sqref="G115">
    <cfRule type="cellIs" dxfId="34" priority="57" operator="notEqual">
      <formula>H115</formula>
    </cfRule>
  </conditionalFormatting>
  <conditionalFormatting sqref="G117">
    <cfRule type="cellIs" dxfId="33" priority="56" operator="notEqual">
      <formula>H117</formula>
    </cfRule>
  </conditionalFormatting>
  <conditionalFormatting sqref="G123">
    <cfRule type="cellIs" dxfId="32" priority="55" operator="notEqual">
      <formula>H123</formula>
    </cfRule>
  </conditionalFormatting>
  <conditionalFormatting sqref="G124">
    <cfRule type="cellIs" dxfId="31" priority="54" operator="notEqual">
      <formula>H124</formula>
    </cfRule>
  </conditionalFormatting>
  <conditionalFormatting sqref="G125">
    <cfRule type="cellIs" dxfId="30" priority="53" operator="notEqual">
      <formula>H125</formula>
    </cfRule>
  </conditionalFormatting>
  <conditionalFormatting sqref="G126">
    <cfRule type="cellIs" dxfId="29" priority="52" operator="notEqual">
      <formula>H126</formula>
    </cfRule>
  </conditionalFormatting>
  <conditionalFormatting sqref="G127">
    <cfRule type="cellIs" dxfId="28" priority="51" operator="notEqual">
      <formula>H127</formula>
    </cfRule>
  </conditionalFormatting>
  <conditionalFormatting sqref="G128">
    <cfRule type="cellIs" dxfId="27" priority="50" operator="notEqual">
      <formula>H128</formula>
    </cfRule>
  </conditionalFormatting>
  <conditionalFormatting sqref="G129">
    <cfRule type="cellIs" dxfId="26" priority="49" operator="notEqual">
      <formula>H129</formula>
    </cfRule>
  </conditionalFormatting>
  <conditionalFormatting sqref="G130">
    <cfRule type="cellIs" dxfId="25" priority="48" operator="notEqual">
      <formula>H130</formula>
    </cfRule>
  </conditionalFormatting>
  <conditionalFormatting sqref="G131">
    <cfRule type="cellIs" dxfId="24" priority="47" operator="notEqual">
      <formula>H131</formula>
    </cfRule>
  </conditionalFormatting>
  <conditionalFormatting sqref="G132">
    <cfRule type="cellIs" dxfId="23" priority="46" operator="notEqual">
      <formula>H132</formula>
    </cfRule>
  </conditionalFormatting>
  <conditionalFormatting sqref="G134">
    <cfRule type="cellIs" dxfId="22" priority="45" operator="notEqual">
      <formula>H134</formula>
    </cfRule>
  </conditionalFormatting>
  <conditionalFormatting sqref="G135">
    <cfRule type="cellIs" dxfId="21" priority="44" operator="notEqual">
      <formula>H135</formula>
    </cfRule>
  </conditionalFormatting>
  <conditionalFormatting sqref="G136">
    <cfRule type="cellIs" dxfId="20" priority="43" operator="notEqual">
      <formula>H136</formula>
    </cfRule>
  </conditionalFormatting>
  <conditionalFormatting sqref="G137">
    <cfRule type="cellIs" dxfId="19" priority="42" operator="notEqual">
      <formula>H137</formula>
    </cfRule>
  </conditionalFormatting>
  <conditionalFormatting sqref="G138">
    <cfRule type="cellIs" dxfId="18" priority="41" operator="notEqual">
      <formula>H138</formula>
    </cfRule>
  </conditionalFormatting>
  <conditionalFormatting sqref="G139">
    <cfRule type="cellIs" dxfId="17" priority="40" operator="notEqual">
      <formula>H139</formula>
    </cfRule>
  </conditionalFormatting>
  <conditionalFormatting sqref="G140">
    <cfRule type="cellIs" dxfId="16" priority="39" operator="notEqual">
      <formula>H140</formula>
    </cfRule>
  </conditionalFormatting>
  <conditionalFormatting sqref="G141">
    <cfRule type="cellIs" dxfId="15" priority="38" operator="notEqual">
      <formula>H141</formula>
    </cfRule>
  </conditionalFormatting>
  <conditionalFormatting sqref="G142">
    <cfRule type="cellIs" dxfId="14" priority="37" operator="notEqual">
      <formula>H142</formula>
    </cfRule>
  </conditionalFormatting>
  <conditionalFormatting sqref="G143">
    <cfRule type="cellIs" dxfId="13" priority="36" operator="notEqual">
      <formula>H143</formula>
    </cfRule>
  </conditionalFormatting>
  <conditionalFormatting sqref="G144">
    <cfRule type="cellIs" dxfId="12" priority="35" operator="notEqual">
      <formula>H144</formula>
    </cfRule>
  </conditionalFormatting>
  <conditionalFormatting sqref="G21">
    <cfRule type="cellIs" dxfId="11" priority="34" operator="notEqual">
      <formula>H21</formula>
    </cfRule>
  </conditionalFormatting>
  <conditionalFormatting sqref="G22">
    <cfRule type="cellIs" dxfId="10" priority="33" operator="notEqual">
      <formula>H22</formula>
    </cfRule>
  </conditionalFormatting>
  <conditionalFormatting sqref="G23">
    <cfRule type="cellIs" dxfId="9" priority="32" operator="notEqual">
      <formula>H23</formula>
    </cfRule>
  </conditionalFormatting>
  <conditionalFormatting sqref="G24">
    <cfRule type="cellIs" dxfId="8" priority="31" operator="notEqual">
      <formula>H24</formula>
    </cfRule>
  </conditionalFormatting>
  <conditionalFormatting sqref="G60">
    <cfRule type="cellIs" dxfId="7" priority="30" operator="notEqual">
      <formula>H60</formula>
    </cfRule>
  </conditionalFormatting>
  <conditionalFormatting sqref="G36">
    <cfRule type="cellIs" dxfId="6" priority="20" operator="lessThan">
      <formula>120</formula>
    </cfRule>
    <cfRule type="cellIs" dxfId="5" priority="21" operator="greaterThan">
      <formula>150</formula>
    </cfRule>
  </conditionalFormatting>
  <conditionalFormatting sqref="G37">
    <cfRule type="cellIs" dxfId="4" priority="17" operator="lessThan">
      <formula>120</formula>
    </cfRule>
    <cfRule type="cellIs" dxfId="3" priority="19" operator="greaterThan">
      <formula>150</formula>
    </cfRule>
  </conditionalFormatting>
  <conditionalFormatting sqref="G119">
    <cfRule type="cellIs" dxfId="2" priority="3" operator="notEqual">
      <formula>H119</formula>
    </cfRule>
  </conditionalFormatting>
  <conditionalFormatting sqref="G120">
    <cfRule type="cellIs" dxfId="1" priority="2" operator="notEqual">
      <formula>H120</formula>
    </cfRule>
  </conditionalFormatting>
  <conditionalFormatting sqref="G121">
    <cfRule type="cellIs" dxfId="0" priority="1" operator="notEqual">
      <formula>H121</formula>
    </cfRule>
  </conditionalFormatting>
  <dataValidations count="3">
    <dataValidation type="list" allowBlank="1" showInputMessage="1" showErrorMessage="1" sqref="D114:D117" xr:uid="{BE407231-5CA1-4AF6-99C1-E137F4EE33E2}">
      <formula1>$AS$4</formula1>
    </dataValidation>
    <dataValidation type="list" allowBlank="1" showInputMessage="1" showErrorMessage="1" sqref="D127:D128" xr:uid="{D483C61C-7C08-41A4-81FA-DCED7EB5C33F}">
      <formula1>$AR$4</formula1>
    </dataValidation>
    <dataValidation type="list" allowBlank="1" showInputMessage="1" showErrorMessage="1" sqref="D119" xr:uid="{1C16C1C5-CFFF-41BB-BB7E-51C6104FD0AF}">
      <formula1>bias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Deletemechanicsnotes">
                <anchor moveWithCells="1" sizeWithCells="1">
                  <from>
                    <xdr:col>1</xdr:col>
                    <xdr:colOff>1714500</xdr:colOff>
                    <xdr:row>7</xdr:row>
                    <xdr:rowOff>66675</xdr:rowOff>
                  </from>
                  <to>
                    <xdr:col>1</xdr:col>
                    <xdr:colOff>2152650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5" name="Button 21">
              <controlPr defaultSize="0" print="0" autoFill="0" autoPict="0" macro="[0]!Clearmaster">
                <anchor moveWithCells="1" sizeWithCells="1">
                  <from>
                    <xdr:col>1</xdr:col>
                    <xdr:colOff>1724025</xdr:colOff>
                    <xdr:row>3</xdr:row>
                    <xdr:rowOff>38100</xdr:rowOff>
                  </from>
                  <to>
                    <xdr:col>1</xdr:col>
                    <xdr:colOff>2124075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Button 24">
              <controlPr defaultSize="0" print="0" autoFill="0" autoPict="0" macro="[0]!Copylastsetuptomaster">
                <anchor moveWithCells="1" sizeWithCells="1">
                  <from>
                    <xdr:col>1</xdr:col>
                    <xdr:colOff>1714500</xdr:colOff>
                    <xdr:row>5</xdr:row>
                    <xdr:rowOff>57150</xdr:rowOff>
                  </from>
                  <to>
                    <xdr:col>1</xdr:col>
                    <xdr:colOff>2133600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7" name="Button 27">
              <controlPr defaultSize="0" print="0" autoFill="0" autoPict="0" macro="[0]!LogMaster">
                <anchor moveWithCells="1" sizeWithCells="1">
                  <from>
                    <xdr:col>3</xdr:col>
                    <xdr:colOff>19050</xdr:colOff>
                    <xdr:row>7</xdr:row>
                    <xdr:rowOff>47625</xdr:rowOff>
                  </from>
                  <to>
                    <xdr:col>3</xdr:col>
                    <xdr:colOff>619125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UndoLog">
                <anchor moveWithCells="1">
                  <from>
                    <xdr:col>3</xdr:col>
                    <xdr:colOff>647700</xdr:colOff>
                    <xdr:row>7</xdr:row>
                    <xdr:rowOff>57150</xdr:rowOff>
                  </from>
                  <to>
                    <xdr:col>5</xdr:col>
                    <xdr:colOff>9525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2">
        <x14:dataValidation type="list" allowBlank="1" showInputMessage="1" showErrorMessage="1" xr:uid="{DCB81682-E00C-42AD-9F41-8D0DC7706F0E}">
          <x14:formula1>
            <xm:f>Options!$B$4:$B$9</xm:f>
          </x14:formula1>
          <xm:sqref>D11</xm:sqref>
        </x14:dataValidation>
        <x14:dataValidation type="list" allowBlank="1" showInputMessage="1" showErrorMessage="1" xr:uid="{E89B43C4-81F5-4D80-8C09-F0625723E482}">
          <x14:formula1>
            <xm:f>Options!$D$4:$D$28</xm:f>
          </x14:formula1>
          <xm:sqref>D14</xm:sqref>
        </x14:dataValidation>
        <x14:dataValidation type="list" allowBlank="1" showInputMessage="1" showErrorMessage="1" xr:uid="{9E3D48B0-163A-429D-8260-2537D9330DE7}">
          <x14:formula1>
            <xm:f>Options!$E$4</xm:f>
          </x14:formula1>
          <xm:sqref>D15</xm:sqref>
        </x14:dataValidation>
        <x14:dataValidation type="list" allowBlank="1" showInputMessage="1" showErrorMessage="1" xr:uid="{36CB8CB3-4485-49C0-AE13-8765478F6A19}">
          <x14:formula1>
            <xm:f>Options!$F$4:$F$9</xm:f>
          </x14:formula1>
          <xm:sqref>D16</xm:sqref>
        </x14:dataValidation>
        <x14:dataValidation type="list" allowBlank="1" showInputMessage="1" showErrorMessage="1" xr:uid="{41E68D81-C006-4278-B3C5-6436498C53F1}">
          <x14:formula1>
            <xm:f>Options!$G$4:$G$14</xm:f>
          </x14:formula1>
          <xm:sqref>D17</xm:sqref>
        </x14:dataValidation>
        <x14:dataValidation type="list" allowBlank="1" showInputMessage="1" showErrorMessage="1" xr:uid="{5E08DF7E-E3F1-4A15-95A7-7ED312EB73D3}">
          <x14:formula1>
            <xm:f>Options!$H$4:$H$28</xm:f>
          </x14:formula1>
          <xm:sqref>D18</xm:sqref>
        </x14:dataValidation>
        <x14:dataValidation type="list" allowBlank="1" showInputMessage="1" showErrorMessage="1" xr:uid="{8948C3FB-A244-4876-8CF4-050F0E51A1DC}">
          <x14:formula1>
            <xm:f>Options!$L$4:$L$7</xm:f>
          </x14:formula1>
          <xm:sqref>D58</xm:sqref>
        </x14:dataValidation>
        <x14:dataValidation type="list" allowBlank="1" showInputMessage="1" showErrorMessage="1" xr:uid="{4E2FEDD6-2D3C-4BA0-A366-D037FF7A5E95}">
          <x14:formula1>
            <xm:f>Options!$M$4:$M$9</xm:f>
          </x14:formula1>
          <xm:sqref>D59</xm:sqref>
        </x14:dataValidation>
        <x14:dataValidation type="list" allowBlank="1" showInputMessage="1" showErrorMessage="1" xr:uid="{4148D254-FB56-4529-84AA-8DFD3364B15B}">
          <x14:formula1>
            <xm:f>Options!$P$4:$P$11</xm:f>
          </x14:formula1>
          <xm:sqref>D61</xm:sqref>
        </x14:dataValidation>
        <x14:dataValidation type="list" allowBlank="1" showInputMessage="1" showErrorMessage="1" xr:uid="{9EFDDE30-0BE3-435E-BA41-0B13CC13DA1B}">
          <x14:formula1>
            <xm:f>Options!$S$4:$S$11</xm:f>
          </x14:formula1>
          <xm:sqref>D65</xm:sqref>
        </x14:dataValidation>
        <x14:dataValidation type="list" allowBlank="1" showInputMessage="1" showErrorMessage="1" xr:uid="{71DF7362-38D3-4D79-AF71-8B8F3106750A}">
          <x14:formula1>
            <xm:f>Options!$T$4:$T$7</xm:f>
          </x14:formula1>
          <xm:sqref>D70</xm:sqref>
        </x14:dataValidation>
        <x14:dataValidation type="list" allowBlank="1" showInputMessage="1" showErrorMessage="1" xr:uid="{88F7E6F4-C518-4C90-8F0E-AB0ED6C248ED}">
          <x14:formula1>
            <xm:f>Options!$U$4:$U$7</xm:f>
          </x14:formula1>
          <xm:sqref>D74</xm:sqref>
        </x14:dataValidation>
        <x14:dataValidation type="list" allowBlank="1" showInputMessage="1" showErrorMessage="1" xr:uid="{C3575CF1-517D-4699-9A20-227523BDF26D}">
          <x14:formula1>
            <xm:f>Options!$V$4:$V$9</xm:f>
          </x14:formula1>
          <xm:sqref>D75</xm:sqref>
        </x14:dataValidation>
        <x14:dataValidation type="list" allowBlank="1" showInputMessage="1" showErrorMessage="1" xr:uid="{78E034D7-5CBD-4FFD-B1ED-2087885F2564}">
          <x14:formula1>
            <xm:f>Options!$W$4:$W$10</xm:f>
          </x14:formula1>
          <xm:sqref>D76</xm:sqref>
        </x14:dataValidation>
        <x14:dataValidation type="list" allowBlank="1" showInputMessage="1" showErrorMessage="1" xr:uid="{7AA3E1AE-F6BB-4F52-AF1F-1C19E27F2FD4}">
          <x14:formula1>
            <xm:f>Options!$Y$4:$Y$11</xm:f>
          </x14:formula1>
          <xm:sqref>D77</xm:sqref>
        </x14:dataValidation>
        <x14:dataValidation type="list" allowBlank="1" showInputMessage="1" showErrorMessage="1" xr:uid="{8F165212-3128-4F55-990E-57BBBCE4DE60}">
          <x14:formula1>
            <xm:f>Options!$AB$4:$AB$11</xm:f>
          </x14:formula1>
          <xm:sqref>D81</xm:sqref>
        </x14:dataValidation>
        <x14:dataValidation type="list" allowBlank="1" showInputMessage="1" showErrorMessage="1" xr:uid="{DA383C74-A664-48BA-A31C-EBCD6502282A}">
          <x14:formula1>
            <xm:f>Options!$AC$4:$AC$7</xm:f>
          </x14:formula1>
          <xm:sqref>D86</xm:sqref>
        </x14:dataValidation>
        <x14:dataValidation type="list" showInputMessage="1" showErrorMessage="1" xr:uid="{704777EE-A2C3-4D97-93C8-AB0768A9BEE0}">
          <x14:formula1>
            <xm:f>Options!$AD$4:$AD$28</xm:f>
          </x14:formula1>
          <xm:sqref>D71:D72 D87:D88</xm:sqref>
        </x14:dataValidation>
        <x14:dataValidation type="list" allowBlank="1" showInputMessage="1" showErrorMessage="1" xr:uid="{4548182C-8162-4B8A-ADBD-F60F881C206D}">
          <x14:formula1>
            <xm:f>Options!$BA$4:$BA$50</xm:f>
          </x14:formula1>
          <xm:sqref>D134</xm:sqref>
        </x14:dataValidation>
        <x14:dataValidation type="list" allowBlank="1" showInputMessage="1" showErrorMessage="1" xr:uid="{3790AA27-3EF1-4BE8-852D-F891020CED30}">
          <x14:formula1>
            <xm:f>Options!$BB$4:$BB$50</xm:f>
          </x14:formula1>
          <xm:sqref>D135</xm:sqref>
        </x14:dataValidation>
        <x14:dataValidation type="list" allowBlank="1" showInputMessage="1" showErrorMessage="1" xr:uid="{AE0A97CE-899A-49A1-925F-7263C31C3268}">
          <x14:formula1>
            <xm:f>Options!$BG$4:$BG$50</xm:f>
          </x14:formula1>
          <xm:sqref>D140</xm:sqref>
        </x14:dataValidation>
        <x14:dataValidation type="list" allowBlank="1" showInputMessage="1" showErrorMessage="1" xr:uid="{7596AED2-B319-4D38-9C75-A1C274823807}">
          <x14:formula1>
            <xm:f>Options!$BD$4:$BD$50</xm:f>
          </x14:formula1>
          <xm:sqref>D137</xm:sqref>
        </x14:dataValidation>
        <x14:dataValidation type="list" allowBlank="1" showInputMessage="1" showErrorMessage="1" xr:uid="{8B5B2BF0-709D-4F0F-B6C7-80929B01197C}">
          <x14:formula1>
            <xm:f>Options!$BE$4:$BE$50</xm:f>
          </x14:formula1>
          <xm:sqref>D138</xm:sqref>
        </x14:dataValidation>
        <x14:dataValidation type="list" allowBlank="1" showInputMessage="1" showErrorMessage="1" xr:uid="{501485F2-6F2A-46B7-B809-E3F5BCA56079}">
          <x14:formula1>
            <xm:f>Options!$BF$4:$BF$50</xm:f>
          </x14:formula1>
          <xm:sqref>D139</xm:sqref>
        </x14:dataValidation>
        <x14:dataValidation type="list" allowBlank="1" showInputMessage="1" showErrorMessage="1" xr:uid="{90E6318B-B3F4-4CFB-9702-18232C1C8F18}">
          <x14:formula1>
            <xm:f>Options!$BH$4:$BH$50</xm:f>
          </x14:formula1>
          <xm:sqref>D141</xm:sqref>
        </x14:dataValidation>
        <x14:dataValidation type="list" allowBlank="1" showInputMessage="1" showErrorMessage="1" xr:uid="{404B9655-79D4-4FD0-9A70-F50B5040B787}">
          <x14:formula1>
            <xm:f>Options!$BI$4:$BI$50</xm:f>
          </x14:formula1>
          <xm:sqref>D142</xm:sqref>
        </x14:dataValidation>
        <x14:dataValidation type="list" allowBlank="1" showInputMessage="1" showErrorMessage="1" xr:uid="{A8525DC9-5B5F-46BB-8B41-26DEB5FEBE21}">
          <x14:formula1>
            <xm:f>Options!$BJ$4:$BJ$50</xm:f>
          </x14:formula1>
          <xm:sqref>D143</xm:sqref>
        </x14:dataValidation>
        <x14:dataValidation type="list" allowBlank="1" showInputMessage="1" showErrorMessage="1" xr:uid="{BFDC269F-E3D5-4CB9-89D1-00EF3AD843BF}">
          <x14:formula1>
            <xm:f>Options!$BK$4:$BK$50</xm:f>
          </x14:formula1>
          <xm:sqref>D144</xm:sqref>
        </x14:dataValidation>
        <x14:dataValidation type="list" allowBlank="1" showInputMessage="1" showErrorMessage="1" xr:uid="{7C9E812A-C7CF-4F9D-B115-78796FEAE3E4}">
          <x14:formula1>
            <xm:f>Options!$C$4:$C$13</xm:f>
          </x14:formula1>
          <xm:sqref>D12</xm:sqref>
        </x14:dataValidation>
        <x14:dataValidation type="list" allowBlank="1" showInputMessage="1" showErrorMessage="1" xr:uid="{1DCCCE39-33E6-46EB-82A2-960D19C1382C}">
          <x14:formula1>
            <xm:f>Options!$AT$4:$AT$6</xm:f>
          </x14:formula1>
          <xm:sqref>D123</xm:sqref>
        </x14:dataValidation>
        <x14:dataValidation type="list" allowBlank="1" showInputMessage="1" showErrorMessage="1" xr:uid="{109452E9-7A95-403D-BA3C-7D9A0CD4D71F}">
          <x14:formula1>
            <xm:f>Options!$AU$4:$AU$7</xm:f>
          </x14:formula1>
          <xm:sqref>D124</xm:sqref>
        </x14:dataValidation>
        <x14:dataValidation type="list" allowBlank="1" showInputMessage="1" showErrorMessage="1" xr:uid="{11ED03C8-6A0A-45C4-9554-7D8BB3782866}">
          <x14:formula1>
            <xm:f>Options!$AV$4:$AV$7</xm:f>
          </x14:formula1>
          <xm:sqref>D125</xm:sqref>
        </x14:dataValidation>
        <x14:dataValidation type="list" allowBlank="1" showInputMessage="1" showErrorMessage="1" xr:uid="{B9331D3A-7E20-4ECA-AC64-670683BDBF8C}">
          <x14:formula1>
            <xm:f>Options!$AW$4:$AW$9</xm:f>
          </x14:formula1>
          <xm:sqref>D126</xm:sqref>
        </x14:dataValidation>
        <x14:dataValidation type="list" allowBlank="1" showInputMessage="1" showErrorMessage="1" xr:uid="{41C47483-882D-45E9-99FE-CB33EA133183}">
          <x14:formula1>
            <xm:f>Options!$AP$4:$AP$6</xm:f>
          </x14:formula1>
          <xm:sqref>D108</xm:sqref>
        </x14:dataValidation>
        <x14:dataValidation type="list" allowBlank="1" showInputMessage="1" showErrorMessage="1" xr:uid="{BDBC5ABE-D616-49A8-9DF7-A8319F1FB105}">
          <x14:formula1>
            <xm:f>Options!$AQ$4:$AQ$7</xm:f>
          </x14:formula1>
          <xm:sqref>D109</xm:sqref>
        </x14:dataValidation>
        <x14:dataValidation type="list" allowBlank="1" showInputMessage="1" showErrorMessage="1" xr:uid="{334887A7-9AAD-4457-9CB8-882B18772A58}">
          <x14:formula1>
            <xm:f>Options!$AR$4:$AR$7</xm:f>
          </x14:formula1>
          <xm:sqref>D110</xm:sqref>
        </x14:dataValidation>
        <x14:dataValidation type="list" allowBlank="1" showInputMessage="1" showErrorMessage="1" xr:uid="{3AC94E9F-DAE4-4DE2-BEDD-9933B482D831}">
          <x14:formula1>
            <xm:f>Options!$AS$4:$AS$9</xm:f>
          </x14:formula1>
          <xm:sqref>D111</xm:sqref>
        </x14:dataValidation>
        <x14:dataValidation type="list" allowBlank="1" showInputMessage="1" showErrorMessage="1" xr:uid="{09B5A27C-A541-4E6A-A538-F095A9352DC7}">
          <x14:formula1>
            <xm:f>Options!$AE$4:$AE$10</xm:f>
          </x14:formula1>
          <xm:sqref>D97</xm:sqref>
        </x14:dataValidation>
        <x14:dataValidation type="list" allowBlank="1" showInputMessage="1" showErrorMessage="1" xr:uid="{D87AC741-69E5-48D9-A7D1-59D79E0ABB98}">
          <x14:formula1>
            <xm:f>Options!$AF$4:$AF$10</xm:f>
          </x14:formula1>
          <xm:sqref>D98</xm:sqref>
        </x14:dataValidation>
        <x14:dataValidation type="list" allowBlank="1" showInputMessage="1" showErrorMessage="1" xr:uid="{9B1954B2-C750-4797-A17D-653DD1C9194C}">
          <x14:formula1>
            <xm:f>Options!$AG$4:$AG$10</xm:f>
          </x14:formula1>
          <xm:sqref>D99</xm:sqref>
        </x14:dataValidation>
        <x14:dataValidation type="list" allowBlank="1" showInputMessage="1" showErrorMessage="1" xr:uid="{6304B31D-DA0A-4FD9-A33C-A6CE9A54CE8A}">
          <x14:formula1>
            <xm:f>Options!$AH$4:$AH$10</xm:f>
          </x14:formula1>
          <xm:sqref>D100</xm:sqref>
        </x14:dataValidation>
        <x14:dataValidation type="list" allowBlank="1" showInputMessage="1" showErrorMessage="1" xr:uid="{59ED3531-73FB-44BD-AD42-B6CD5B8E4571}">
          <x14:formula1>
            <xm:f>Options!$AI$4:$AI$10</xm:f>
          </x14:formula1>
          <xm:sqref>D101</xm:sqref>
        </x14:dataValidation>
        <x14:dataValidation type="list" allowBlank="1" showInputMessage="1" showErrorMessage="1" xr:uid="{7B5DEAAB-660E-4BF4-9A5E-C04A5C1C7683}">
          <x14:formula1>
            <xm:f>Options!$AK$4:$AK$10</xm:f>
          </x14:formula1>
          <xm:sqref>D104</xm:sqref>
        </x14:dataValidation>
        <x14:dataValidation type="list" allowBlank="1" showInputMessage="1" showErrorMessage="1" xr:uid="{BD8C40A1-4C07-46F5-97FC-DDC1CC2F072D}">
          <x14:formula1>
            <xm:f>Options!$AL$4:$AL$10</xm:f>
          </x14:formula1>
          <xm:sqref>D105</xm:sqref>
        </x14:dataValidation>
        <x14:dataValidation type="list" allowBlank="1" showInputMessage="1" showErrorMessage="1" xr:uid="{C86D3DCF-6F15-4E51-823D-2B1BFB9C7CB7}">
          <x14:formula1>
            <xm:f>Options!$AJ$4:$AJ$13</xm:f>
          </x14:formula1>
          <xm:sqref>D103</xm:sqref>
        </x14:dataValidation>
        <x14:dataValidation type="list" allowBlank="1" showInputMessage="1" showErrorMessage="1" xr:uid="{E991C7AE-90C0-475A-87B1-DF4F58ACC9C9}">
          <x14:formula1>
            <xm:f>Options!$J$4:$J$24</xm:f>
          </x14:formula1>
          <xm:sqref>D44:D45</xm:sqref>
        </x14:dataValidation>
        <x14:dataValidation type="list" allowBlank="1" showInputMessage="1" showErrorMessage="1" xr:uid="{141CB278-B492-4899-85E8-1F1472343708}">
          <x14:formula1>
            <xm:f>Options!$J$8:$J$12</xm:f>
          </x14:formula1>
          <xm:sqref>D46:D47</xm:sqref>
        </x14:dataValidation>
        <x14:dataValidation type="list" allowBlank="1" showInputMessage="1" showErrorMessage="1" xr:uid="{930FC94A-C05E-463E-B327-DD03168B92FF}">
          <x14:formula1>
            <xm:f>Options!$BC$4:$BC$50</xm:f>
          </x14:formula1>
          <xm:sqref>D136</xm:sqref>
        </x14:dataValidation>
        <x14:dataValidation type="list" allowBlank="1" showInputMessage="1" showErrorMessage="1" xr:uid="{3B5567AE-2657-4C9A-93EC-B0DC8366F666}">
          <x14:formula1>
            <xm:f>Options!$AY$4</xm:f>
          </x14:formula1>
          <xm:sqref>D129:D132</xm:sqref>
        </x14:dataValidation>
        <x14:dataValidation type="list" allowBlank="1" showInputMessage="1" showErrorMessage="1" xr:uid="{7CEA3F48-68FA-45E4-920B-8B3DF0F50FFE}">
          <x14:formula1>
            <xm:f>Options!$AX$4</xm:f>
          </x14:formula1>
          <xm:sqref>D112:D113</xm:sqref>
        </x14:dataValidation>
        <x14:dataValidation type="list" allowBlank="1" showInputMessage="1" showErrorMessage="1" xr:uid="{BE81855C-5FCA-49AD-A54C-6C8F29BB0DC1}">
          <x14:formula1>
            <xm:f>Options!$K$4:$K$20</xm:f>
          </x14:formula1>
          <xm:sqref>D53:D56</xm:sqref>
        </x14:dataValidation>
        <x14:dataValidation type="list" allowBlank="1" showInputMessage="1" showErrorMessage="1" xr:uid="{39DC6010-8348-4CC5-AFE4-CD9802A3D386}">
          <x14:formula1>
            <xm:f>Options!$N$4:$N$10</xm:f>
          </x14:formula1>
          <xm:sqref>D60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AAED-5271-40C9-9650-39DDC73B4E82}">
  <sheetPr codeName="Sheet2"/>
  <dimension ref="A1:B6"/>
  <sheetViews>
    <sheetView workbookViewId="0">
      <selection activeCell="C20" sqref="C20"/>
    </sheetView>
  </sheetViews>
  <sheetFormatPr defaultRowHeight="12.75" x14ac:dyDescent="0.2"/>
  <cols>
    <col min="1" max="1" width="20.5703125" customWidth="1"/>
  </cols>
  <sheetData>
    <row r="1" spans="1:2" x14ac:dyDescent="0.2">
      <c r="A1" s="234" t="s">
        <v>381</v>
      </c>
      <c r="B1" s="234"/>
    </row>
    <row r="2" spans="1:2" x14ac:dyDescent="0.2">
      <c r="A2" s="234"/>
      <c r="B2" s="234"/>
    </row>
    <row r="3" spans="1:2" x14ac:dyDescent="0.2">
      <c r="A3" s="235" t="s">
        <v>382</v>
      </c>
      <c r="B3" s="234">
        <f>SetupOverview!D21</f>
        <v>184</v>
      </c>
    </row>
    <row r="4" spans="1:2" x14ac:dyDescent="0.2">
      <c r="A4" s="235" t="s">
        <v>383</v>
      </c>
      <c r="B4" s="234">
        <v>222</v>
      </c>
    </row>
    <row r="5" spans="1:2" x14ac:dyDescent="0.2">
      <c r="A5" s="235" t="s">
        <v>384</v>
      </c>
      <c r="B5" s="234">
        <v>444</v>
      </c>
    </row>
    <row r="6" spans="1:2" x14ac:dyDescent="0.2">
      <c r="A6" s="235" t="s">
        <v>385</v>
      </c>
      <c r="B6" s="234">
        <v>650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erttxt">
                <anchor moveWithCells="1" sizeWithCells="1">
                  <from>
                    <xdr:col>4</xdr:col>
                    <xdr:colOff>266700</xdr:colOff>
                    <xdr:row>2</xdr:row>
                    <xdr:rowOff>9525</xdr:rowOff>
                  </from>
                  <to>
                    <xdr:col>7</xdr:col>
                    <xdr:colOff>495300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784AA-A18D-474C-9512-1FA2E622C4E4}">
  <sheetPr codeName="Sheet3">
    <tabColor theme="1"/>
  </sheetPr>
  <dimension ref="A1:BK51"/>
  <sheetViews>
    <sheetView workbookViewId="0">
      <selection activeCell="H10" sqref="H10"/>
    </sheetView>
  </sheetViews>
  <sheetFormatPr defaultRowHeight="12.75" x14ac:dyDescent="0.2"/>
  <cols>
    <col min="1" max="1" width="12.140625" style="116" customWidth="1"/>
    <col min="2" max="3" width="9.140625" style="116"/>
    <col min="4" max="4" width="13.7109375" style="116" customWidth="1"/>
    <col min="5" max="5" width="14.7109375" style="116" customWidth="1"/>
    <col min="6" max="6" width="9.140625" style="116"/>
    <col min="7" max="7" width="21.28515625" style="116" customWidth="1"/>
    <col min="8" max="8" width="17.5703125" style="116" customWidth="1"/>
    <col min="9" max="11" width="22.7109375" style="116" customWidth="1"/>
    <col min="12" max="12" width="25.140625" style="116" customWidth="1"/>
    <col min="13" max="13" width="17" style="116" customWidth="1"/>
    <col min="14" max="15" width="12.5703125" style="116" customWidth="1"/>
    <col min="16" max="16" width="9.140625" style="116"/>
    <col min="17" max="17" width="14" style="116" customWidth="1"/>
    <col min="18" max="18" width="17.5703125" style="116" customWidth="1"/>
    <col min="19" max="19" width="18.85546875" style="116" customWidth="1"/>
    <col min="20" max="20" width="18.7109375" style="116" customWidth="1"/>
    <col min="21" max="21" width="18.85546875" style="116" customWidth="1"/>
    <col min="22" max="22" width="19.28515625" style="116" customWidth="1"/>
    <col min="23" max="23" width="12.28515625" style="116" customWidth="1"/>
    <col min="24" max="24" width="28.85546875" style="116" customWidth="1"/>
    <col min="25" max="27" width="20.5703125" style="116" customWidth="1"/>
    <col min="28" max="28" width="15.7109375" style="116" customWidth="1"/>
    <col min="29" max="29" width="21.140625" style="116" customWidth="1"/>
    <col min="30" max="30" width="9.140625" style="116"/>
    <col min="31" max="37" width="10.7109375" style="116" customWidth="1"/>
    <col min="38" max="38" width="15.7109375" style="116" customWidth="1"/>
    <col min="39" max="41" width="23.85546875" style="116" customWidth="1"/>
    <col min="42" max="51" width="18.7109375" style="116" customWidth="1"/>
    <col min="52" max="52" width="9.140625" style="116"/>
    <col min="53" max="60" width="10.7109375" style="116" customWidth="1"/>
    <col min="61" max="61" width="16" style="116" customWidth="1"/>
    <col min="62" max="62" width="15.42578125" style="116" customWidth="1"/>
    <col min="63" max="63" width="17.85546875" style="116" customWidth="1"/>
    <col min="64" max="16384" width="9.140625" style="116"/>
  </cols>
  <sheetData>
    <row r="1" spans="1:63" x14ac:dyDescent="0.2">
      <c r="A1" s="123" t="s">
        <v>243</v>
      </c>
      <c r="B1" s="116" t="s">
        <v>244</v>
      </c>
      <c r="C1" s="114">
        <v>1</v>
      </c>
    </row>
    <row r="3" spans="1:63" s="122" customFormat="1" x14ac:dyDescent="0.2">
      <c r="B3" s="122" t="s">
        <v>7</v>
      </c>
      <c r="C3" s="122" t="s">
        <v>2</v>
      </c>
      <c r="D3" s="122" t="s">
        <v>1</v>
      </c>
      <c r="E3" s="122" t="s">
        <v>113</v>
      </c>
      <c r="F3" s="122" t="s">
        <v>112</v>
      </c>
      <c r="G3" s="122" t="s">
        <v>54</v>
      </c>
      <c r="H3" s="122" t="s">
        <v>5</v>
      </c>
      <c r="I3" s="122" t="s">
        <v>235</v>
      </c>
      <c r="J3" s="122" t="s">
        <v>257</v>
      </c>
      <c r="K3" s="122" t="s">
        <v>349</v>
      </c>
      <c r="L3" s="122" t="s">
        <v>145</v>
      </c>
      <c r="M3" s="122" t="s">
        <v>12</v>
      </c>
      <c r="N3" s="122" t="s">
        <v>146</v>
      </c>
      <c r="O3" s="122" t="s">
        <v>446</v>
      </c>
      <c r="P3" s="122" t="s">
        <v>147</v>
      </c>
      <c r="Q3" s="122" t="s">
        <v>209</v>
      </c>
      <c r="R3" s="122" t="s">
        <v>211</v>
      </c>
      <c r="S3" s="122" t="s">
        <v>159</v>
      </c>
      <c r="T3" s="122" t="s">
        <v>153</v>
      </c>
      <c r="U3" s="122" t="s">
        <v>156</v>
      </c>
      <c r="V3" s="122" t="s">
        <v>15</v>
      </c>
      <c r="W3" s="122" t="s">
        <v>157</v>
      </c>
      <c r="X3" s="122" t="s">
        <v>447</v>
      </c>
      <c r="Y3" s="122" t="s">
        <v>158</v>
      </c>
      <c r="Z3" s="122" t="s">
        <v>210</v>
      </c>
      <c r="AA3" s="122" t="s">
        <v>212</v>
      </c>
      <c r="AB3" s="122" t="s">
        <v>160</v>
      </c>
      <c r="AC3" s="122" t="s">
        <v>165</v>
      </c>
      <c r="AE3" s="122" t="s">
        <v>170</v>
      </c>
      <c r="AF3" s="122" t="s">
        <v>171</v>
      </c>
      <c r="AG3" s="122" t="s">
        <v>172</v>
      </c>
      <c r="AH3" s="122" t="s">
        <v>173</v>
      </c>
      <c r="AI3" s="122" t="s">
        <v>174</v>
      </c>
      <c r="AJ3" s="122" t="s">
        <v>247</v>
      </c>
      <c r="AK3" s="122" t="s">
        <v>176</v>
      </c>
      <c r="AL3" s="122" t="s">
        <v>177</v>
      </c>
      <c r="AM3" s="122" t="s">
        <v>461</v>
      </c>
      <c r="AN3" s="122" t="s">
        <v>468</v>
      </c>
      <c r="AO3" s="122" t="s">
        <v>460</v>
      </c>
      <c r="AP3" s="122" t="s">
        <v>178</v>
      </c>
      <c r="AQ3" s="122" t="s">
        <v>185</v>
      </c>
      <c r="AR3" s="122" t="s">
        <v>239</v>
      </c>
      <c r="AS3" s="122" t="s">
        <v>240</v>
      </c>
      <c r="AT3" s="122" t="s">
        <v>186</v>
      </c>
      <c r="AU3" s="122" t="s">
        <v>187</v>
      </c>
      <c r="AV3" s="122" t="s">
        <v>241</v>
      </c>
      <c r="AW3" s="122" t="s">
        <v>242</v>
      </c>
      <c r="AX3" s="122" t="s">
        <v>345</v>
      </c>
      <c r="AY3" s="122" t="s">
        <v>346</v>
      </c>
      <c r="BA3" s="122" t="s">
        <v>194</v>
      </c>
      <c r="BB3" s="122" t="s">
        <v>195</v>
      </c>
      <c r="BC3" s="122" t="s">
        <v>196</v>
      </c>
      <c r="BD3" s="122" t="s">
        <v>197</v>
      </c>
      <c r="BE3" s="122" t="s">
        <v>198</v>
      </c>
      <c r="BF3" s="122" t="s">
        <v>199</v>
      </c>
      <c r="BG3" s="122" t="s">
        <v>200</v>
      </c>
      <c r="BH3" s="122" t="s">
        <v>201</v>
      </c>
      <c r="BI3" s="122" t="s">
        <v>202</v>
      </c>
      <c r="BJ3" s="122" t="s">
        <v>203</v>
      </c>
      <c r="BK3" s="122" t="s">
        <v>48</v>
      </c>
    </row>
    <row r="4" spans="1:63" x14ac:dyDescent="0.2">
      <c r="B4" s="118" t="s">
        <v>57</v>
      </c>
      <c r="C4" s="118" t="s">
        <v>97</v>
      </c>
      <c r="D4" s="116" t="s">
        <v>56</v>
      </c>
      <c r="E4" s="116" t="s">
        <v>226</v>
      </c>
      <c r="F4" s="116" t="s">
        <v>227</v>
      </c>
      <c r="G4" s="116" t="s">
        <v>229</v>
      </c>
      <c r="H4" s="116" t="s">
        <v>55</v>
      </c>
      <c r="I4" s="147">
        <v>163</v>
      </c>
      <c r="J4" s="148">
        <v>0</v>
      </c>
      <c r="K4" s="153" t="s">
        <v>351</v>
      </c>
      <c r="L4" s="116" t="s">
        <v>30</v>
      </c>
      <c r="M4" s="116" t="s">
        <v>106</v>
      </c>
      <c r="N4" s="116" t="s">
        <v>454</v>
      </c>
      <c r="P4" s="116">
        <v>902</v>
      </c>
      <c r="S4" s="116" t="s">
        <v>31</v>
      </c>
      <c r="T4" s="116" t="s">
        <v>50</v>
      </c>
      <c r="U4" s="116" t="s">
        <v>30</v>
      </c>
      <c r="V4" s="116" t="s">
        <v>237</v>
      </c>
      <c r="W4" s="117" t="s">
        <v>92</v>
      </c>
      <c r="X4" s="117" t="s">
        <v>448</v>
      </c>
      <c r="Y4" s="116">
        <v>1050</v>
      </c>
      <c r="Z4" s="116">
        <v>123.113</v>
      </c>
      <c r="AA4" s="116">
        <v>119.83799999999999</v>
      </c>
      <c r="AB4" s="116" t="s">
        <v>42</v>
      </c>
      <c r="AC4" s="116" t="s">
        <v>50</v>
      </c>
      <c r="AD4" s="116">
        <v>1</v>
      </c>
      <c r="AE4" s="116" t="s">
        <v>31</v>
      </c>
      <c r="AF4" s="116" t="s">
        <v>31</v>
      </c>
      <c r="AG4" s="116" t="s">
        <v>31</v>
      </c>
      <c r="AH4" s="116" t="s">
        <v>31</v>
      </c>
      <c r="AI4" s="116" t="s">
        <v>31</v>
      </c>
      <c r="AJ4" s="116" t="s">
        <v>248</v>
      </c>
      <c r="AK4" s="116">
        <v>0</v>
      </c>
      <c r="AL4" s="116" t="s">
        <v>34</v>
      </c>
      <c r="AM4" s="104" t="s">
        <v>473</v>
      </c>
      <c r="AN4" s="104" t="s">
        <v>469</v>
      </c>
      <c r="AO4" s="104">
        <v>57.6</v>
      </c>
      <c r="AP4" s="116" t="s">
        <v>103</v>
      </c>
      <c r="AQ4" s="116" t="s">
        <v>465</v>
      </c>
      <c r="AR4" s="116" t="s">
        <v>102</v>
      </c>
      <c r="AS4" s="116" t="s">
        <v>101</v>
      </c>
      <c r="AT4" s="116" t="s">
        <v>103</v>
      </c>
      <c r="AU4" s="116" t="s">
        <v>465</v>
      </c>
      <c r="AV4" s="116" t="s">
        <v>102</v>
      </c>
      <c r="AW4" s="116" t="s">
        <v>101</v>
      </c>
      <c r="AX4" s="116" t="s">
        <v>347</v>
      </c>
      <c r="AY4" s="116" t="s">
        <v>348</v>
      </c>
      <c r="BA4" s="149" t="s">
        <v>31</v>
      </c>
      <c r="BB4" s="149" t="s">
        <v>31</v>
      </c>
      <c r="BC4" s="149" t="s">
        <v>303</v>
      </c>
      <c r="BD4" s="149" t="s">
        <v>303</v>
      </c>
      <c r="BE4" s="149" t="s">
        <v>31</v>
      </c>
      <c r="BF4" s="149" t="s">
        <v>31</v>
      </c>
      <c r="BG4" s="150" t="s">
        <v>267</v>
      </c>
      <c r="BH4" s="150" t="s">
        <v>267</v>
      </c>
      <c r="BI4" s="116" t="s">
        <v>31</v>
      </c>
      <c r="BJ4" s="116" t="s">
        <v>263</v>
      </c>
      <c r="BK4" s="116" t="s">
        <v>258</v>
      </c>
    </row>
    <row r="5" spans="1:63" x14ac:dyDescent="0.2">
      <c r="B5" s="118" t="s">
        <v>221</v>
      </c>
      <c r="C5" s="118" t="s">
        <v>98</v>
      </c>
      <c r="D5" s="116" t="s">
        <v>107</v>
      </c>
      <c r="E5" s="119"/>
      <c r="F5" s="116" t="s">
        <v>228</v>
      </c>
      <c r="G5" s="116" t="s">
        <v>230</v>
      </c>
      <c r="H5" s="116" t="s">
        <v>231</v>
      </c>
      <c r="I5" s="119"/>
      <c r="J5" s="116">
        <v>-0.25</v>
      </c>
      <c r="K5" s="118" t="s">
        <v>350</v>
      </c>
      <c r="N5" s="116" t="s">
        <v>387</v>
      </c>
      <c r="O5" s="116">
        <v>129</v>
      </c>
      <c r="P5" s="116">
        <v>999</v>
      </c>
      <c r="Q5" s="116">
        <v>159.32</v>
      </c>
      <c r="R5" s="116">
        <v>73.924999999999997</v>
      </c>
      <c r="S5" s="116" t="s">
        <v>100</v>
      </c>
      <c r="W5" s="117" t="s">
        <v>93</v>
      </c>
      <c r="X5" s="117" t="s">
        <v>449</v>
      </c>
      <c r="Y5" s="116">
        <v>1250</v>
      </c>
      <c r="Z5" s="116">
        <v>135.26499999999999</v>
      </c>
      <c r="AA5" s="116">
        <v>121.611</v>
      </c>
      <c r="AD5" s="116">
        <v>2</v>
      </c>
      <c r="AE5" s="116" t="s">
        <v>58</v>
      </c>
      <c r="AF5" s="116" t="s">
        <v>58</v>
      </c>
      <c r="AG5" s="116" t="s">
        <v>58</v>
      </c>
      <c r="AH5" s="116" t="s">
        <v>58</v>
      </c>
      <c r="AI5" s="116" t="s">
        <v>58</v>
      </c>
      <c r="AJ5" s="116" t="s">
        <v>249</v>
      </c>
      <c r="AK5" s="116">
        <v>5</v>
      </c>
      <c r="AM5" s="104" t="s">
        <v>474</v>
      </c>
      <c r="AN5" s="104" t="s">
        <v>470</v>
      </c>
      <c r="AO5" s="104">
        <v>54.9</v>
      </c>
      <c r="AQ5" s="116" t="s">
        <v>464</v>
      </c>
      <c r="AU5" s="116" t="s">
        <v>464</v>
      </c>
      <c r="AX5" s="119"/>
      <c r="AY5" s="119"/>
      <c r="BA5" s="149" t="s">
        <v>303</v>
      </c>
      <c r="BB5" s="149" t="s">
        <v>303</v>
      </c>
      <c r="BC5" s="149" t="s">
        <v>304</v>
      </c>
      <c r="BD5" s="149" t="s">
        <v>304</v>
      </c>
      <c r="BE5" s="150" t="s">
        <v>267</v>
      </c>
      <c r="BF5" s="150" t="s">
        <v>267</v>
      </c>
      <c r="BG5" s="150" t="s">
        <v>268</v>
      </c>
      <c r="BH5" s="150" t="s">
        <v>268</v>
      </c>
      <c r="BI5" s="116" t="s">
        <v>263</v>
      </c>
      <c r="BJ5" s="116" t="s">
        <v>264</v>
      </c>
      <c r="BK5" s="116" t="s">
        <v>104</v>
      </c>
    </row>
    <row r="6" spans="1:63" x14ac:dyDescent="0.2">
      <c r="B6" s="118" t="s">
        <v>222</v>
      </c>
      <c r="C6" s="118" t="s">
        <v>99</v>
      </c>
      <c r="D6" s="116" t="s">
        <v>108</v>
      </c>
      <c r="E6" s="119"/>
      <c r="F6" s="116" t="s">
        <v>386</v>
      </c>
      <c r="H6" s="116" t="s">
        <v>236</v>
      </c>
      <c r="I6" s="119"/>
      <c r="J6" s="116">
        <v>-0.5</v>
      </c>
      <c r="K6" s="118" t="s">
        <v>352</v>
      </c>
      <c r="N6" s="116" t="s">
        <v>388</v>
      </c>
      <c r="O6" s="116">
        <v>142</v>
      </c>
      <c r="P6" s="116">
        <v>1102</v>
      </c>
      <c r="Q6" s="116">
        <v>178.458</v>
      </c>
      <c r="R6" s="116">
        <v>80.013000000000005</v>
      </c>
      <c r="W6" s="117" t="s">
        <v>43</v>
      </c>
      <c r="X6" s="117" t="s">
        <v>450</v>
      </c>
      <c r="Y6" s="116">
        <v>1400</v>
      </c>
      <c r="Z6" s="116">
        <v>143.64599999999999</v>
      </c>
      <c r="AA6" s="116">
        <v>122.998</v>
      </c>
      <c r="AD6" s="116">
        <v>3</v>
      </c>
      <c r="AJ6" s="116" t="s">
        <v>250</v>
      </c>
      <c r="AK6" s="116">
        <v>10</v>
      </c>
      <c r="AM6" s="104" t="s">
        <v>475</v>
      </c>
      <c r="AN6" s="104" t="s">
        <v>471</v>
      </c>
      <c r="AO6" s="104">
        <v>52.4</v>
      </c>
      <c r="AX6" s="119"/>
      <c r="AY6" s="119"/>
      <c r="BA6" s="149" t="s">
        <v>304</v>
      </c>
      <c r="BB6" s="149" t="s">
        <v>304</v>
      </c>
      <c r="BC6" s="149" t="s">
        <v>305</v>
      </c>
      <c r="BD6" s="149" t="s">
        <v>305</v>
      </c>
      <c r="BE6" s="150" t="s">
        <v>268</v>
      </c>
      <c r="BF6" s="150" t="s">
        <v>268</v>
      </c>
      <c r="BG6" s="150" t="s">
        <v>269</v>
      </c>
      <c r="BH6" s="150" t="s">
        <v>269</v>
      </c>
      <c r="BI6" s="116" t="s">
        <v>264</v>
      </c>
      <c r="BJ6" s="116" t="s">
        <v>265</v>
      </c>
      <c r="BK6" s="116" t="s">
        <v>259</v>
      </c>
    </row>
    <row r="7" spans="1:63" x14ac:dyDescent="0.2">
      <c r="B7" s="118" t="s">
        <v>223</v>
      </c>
      <c r="C7" s="118" t="s">
        <v>499</v>
      </c>
      <c r="D7" s="116" t="s">
        <v>109</v>
      </c>
      <c r="E7" s="119"/>
      <c r="G7" s="116" t="s">
        <v>231</v>
      </c>
      <c r="H7" s="116" t="s">
        <v>230</v>
      </c>
      <c r="I7" s="119"/>
      <c r="J7" s="116">
        <v>-0.75</v>
      </c>
      <c r="K7" s="118" t="s">
        <v>353</v>
      </c>
      <c r="N7" s="116" t="s">
        <v>389</v>
      </c>
      <c r="O7" s="116">
        <v>159</v>
      </c>
      <c r="P7" s="116">
        <v>1199</v>
      </c>
      <c r="Q7" s="116">
        <v>193.726</v>
      </c>
      <c r="R7" s="116">
        <v>85.176000000000002</v>
      </c>
      <c r="W7" s="117" t="s">
        <v>94</v>
      </c>
      <c r="X7" s="117" t="s">
        <v>451</v>
      </c>
      <c r="Y7" s="116">
        <v>1500</v>
      </c>
      <c r="Z7" s="116">
        <v>148.923</v>
      </c>
      <c r="AA7" s="116">
        <v>123.959</v>
      </c>
      <c r="AD7" s="116">
        <v>4</v>
      </c>
      <c r="AJ7" s="116" t="s">
        <v>251</v>
      </c>
      <c r="AM7" s="104" t="s">
        <v>476</v>
      </c>
      <c r="AN7" s="104" t="s">
        <v>472</v>
      </c>
      <c r="AO7" s="266">
        <v>50</v>
      </c>
      <c r="AP7" s="119"/>
      <c r="AT7" s="119"/>
      <c r="AX7" s="119"/>
      <c r="AY7" s="119"/>
      <c r="BA7" s="149" t="s">
        <v>305</v>
      </c>
      <c r="BB7" s="149" t="s">
        <v>305</v>
      </c>
      <c r="BC7" s="149" t="s">
        <v>306</v>
      </c>
      <c r="BD7" s="149" t="s">
        <v>306</v>
      </c>
      <c r="BE7" s="150" t="s">
        <v>269</v>
      </c>
      <c r="BF7" s="150" t="s">
        <v>269</v>
      </c>
      <c r="BG7" s="150" t="s">
        <v>270</v>
      </c>
      <c r="BH7" s="150" t="s">
        <v>270</v>
      </c>
      <c r="BI7" s="116" t="s">
        <v>265</v>
      </c>
      <c r="BJ7" s="116" t="s">
        <v>266</v>
      </c>
      <c r="BK7" s="116" t="s">
        <v>260</v>
      </c>
    </row>
    <row r="8" spans="1:63" x14ac:dyDescent="0.2">
      <c r="B8" s="118" t="s">
        <v>224</v>
      </c>
      <c r="C8" s="118" t="s">
        <v>500</v>
      </c>
      <c r="D8" s="116" t="s">
        <v>110</v>
      </c>
      <c r="E8" s="119"/>
      <c r="G8" s="116" t="s">
        <v>232</v>
      </c>
      <c r="H8" s="116" t="s">
        <v>506</v>
      </c>
      <c r="I8" s="119"/>
      <c r="J8" s="116">
        <v>-1</v>
      </c>
      <c r="K8" s="118" t="s">
        <v>354</v>
      </c>
      <c r="L8" s="119"/>
      <c r="N8" s="116" t="s">
        <v>388</v>
      </c>
      <c r="O8" s="116">
        <v>173</v>
      </c>
      <c r="P8" s="116">
        <v>1302</v>
      </c>
      <c r="Q8" s="116">
        <v>207.898</v>
      </c>
      <c r="R8" s="116">
        <v>90.183999999999997</v>
      </c>
      <c r="T8" s="119"/>
      <c r="U8" s="119"/>
      <c r="W8" s="117" t="s">
        <v>95</v>
      </c>
      <c r="X8" s="117" t="s">
        <v>452</v>
      </c>
      <c r="Y8" s="116">
        <v>1700</v>
      </c>
      <c r="Z8" s="116">
        <v>158.77099999999999</v>
      </c>
      <c r="AA8" s="116">
        <v>125.82</v>
      </c>
      <c r="AC8" s="119"/>
      <c r="AD8" s="116">
        <v>5</v>
      </c>
      <c r="AJ8" s="116" t="s">
        <v>252</v>
      </c>
      <c r="AM8" s="104" t="s">
        <v>477</v>
      </c>
      <c r="AN8" s="104" t="s">
        <v>471</v>
      </c>
      <c r="AO8" s="104">
        <v>47.7</v>
      </c>
      <c r="AP8" s="119"/>
      <c r="AQ8" s="119"/>
      <c r="AR8" s="119"/>
      <c r="AT8" s="119"/>
      <c r="AU8" s="119"/>
      <c r="AV8" s="119"/>
      <c r="AX8" s="119"/>
      <c r="AY8" s="119"/>
      <c r="BA8" s="149" t="s">
        <v>306</v>
      </c>
      <c r="BB8" s="149" t="s">
        <v>306</v>
      </c>
      <c r="BC8" s="149" t="s">
        <v>307</v>
      </c>
      <c r="BD8" s="149" t="s">
        <v>307</v>
      </c>
      <c r="BE8" s="150" t="s">
        <v>270</v>
      </c>
      <c r="BF8" s="150" t="s">
        <v>270</v>
      </c>
      <c r="BG8" s="150" t="s">
        <v>271</v>
      </c>
      <c r="BH8" s="150" t="s">
        <v>271</v>
      </c>
      <c r="BI8" s="116" t="s">
        <v>266</v>
      </c>
      <c r="BK8" s="116" t="s">
        <v>261</v>
      </c>
    </row>
    <row r="9" spans="1:63" x14ac:dyDescent="0.2">
      <c r="B9" s="118" t="s">
        <v>225</v>
      </c>
      <c r="C9" s="118" t="s">
        <v>501</v>
      </c>
      <c r="D9" s="116" t="s">
        <v>111</v>
      </c>
      <c r="E9" s="119"/>
      <c r="G9" s="116" t="s">
        <v>233</v>
      </c>
      <c r="H9" s="116" t="s">
        <v>229</v>
      </c>
      <c r="I9" s="119"/>
      <c r="J9" s="116">
        <v>-1.25</v>
      </c>
      <c r="K9" s="118" t="s">
        <v>355</v>
      </c>
      <c r="L9" s="119"/>
      <c r="N9" s="116" t="s">
        <v>390</v>
      </c>
      <c r="O9" s="116">
        <v>199</v>
      </c>
      <c r="T9" s="119"/>
      <c r="U9" s="119"/>
      <c r="W9" s="117" t="s">
        <v>96</v>
      </c>
      <c r="X9" s="117" t="s">
        <v>453</v>
      </c>
      <c r="Y9" s="116">
        <v>1900</v>
      </c>
      <c r="Z9" s="116">
        <v>167.79599999999999</v>
      </c>
      <c r="AA9" s="116">
        <v>127.64400000000001</v>
      </c>
      <c r="AC9" s="119"/>
      <c r="AD9" s="116">
        <v>6</v>
      </c>
      <c r="AJ9" s="116" t="s">
        <v>61</v>
      </c>
      <c r="AM9" s="104" t="s">
        <v>478</v>
      </c>
      <c r="AN9" s="104" t="s">
        <v>470</v>
      </c>
      <c r="AO9" s="104">
        <v>45.5</v>
      </c>
      <c r="AP9" s="119"/>
      <c r="AQ9" s="119"/>
      <c r="AR9" s="119"/>
      <c r="AT9" s="119"/>
      <c r="AU9" s="119"/>
      <c r="AV9" s="119"/>
      <c r="AX9" s="119"/>
      <c r="AY9" s="119"/>
      <c r="BA9" s="149" t="s">
        <v>307</v>
      </c>
      <c r="BB9" s="149" t="s">
        <v>307</v>
      </c>
      <c r="BC9" s="149" t="s">
        <v>308</v>
      </c>
      <c r="BD9" s="149" t="s">
        <v>308</v>
      </c>
      <c r="BE9" s="150" t="s">
        <v>271</v>
      </c>
      <c r="BF9" s="150" t="s">
        <v>271</v>
      </c>
      <c r="BG9" s="150" t="s">
        <v>272</v>
      </c>
      <c r="BH9" s="150" t="s">
        <v>272</v>
      </c>
      <c r="BK9" s="116" t="s">
        <v>262</v>
      </c>
    </row>
    <row r="10" spans="1:63" x14ac:dyDescent="0.2">
      <c r="B10" s="119"/>
      <c r="C10" s="118" t="s">
        <v>502</v>
      </c>
      <c r="D10" s="116" t="s">
        <v>507</v>
      </c>
      <c r="E10" s="119"/>
      <c r="F10" s="119"/>
      <c r="G10" s="116" t="s">
        <v>234</v>
      </c>
      <c r="H10" s="116" t="s">
        <v>508</v>
      </c>
      <c r="I10" s="119"/>
      <c r="J10" s="116">
        <v>-1.5</v>
      </c>
      <c r="K10" s="118" t="s">
        <v>357</v>
      </c>
      <c r="L10" s="119"/>
      <c r="M10" s="119"/>
      <c r="N10" s="116" t="s">
        <v>391</v>
      </c>
      <c r="O10" s="116">
        <v>266</v>
      </c>
      <c r="T10" s="119"/>
      <c r="U10" s="119"/>
      <c r="V10" s="119"/>
      <c r="W10" s="117" t="s">
        <v>238</v>
      </c>
      <c r="X10" s="117"/>
      <c r="AC10" s="119"/>
      <c r="AD10" s="116">
        <v>7</v>
      </c>
      <c r="AJ10" s="116" t="s">
        <v>253</v>
      </c>
      <c r="AM10" s="104" t="s">
        <v>479</v>
      </c>
      <c r="AN10" s="104" t="s">
        <v>469</v>
      </c>
      <c r="AO10" s="104">
        <v>43.5</v>
      </c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BA10" s="149" t="s">
        <v>308</v>
      </c>
      <c r="BB10" s="149" t="s">
        <v>308</v>
      </c>
      <c r="BC10" s="149" t="s">
        <v>309</v>
      </c>
      <c r="BD10" s="149" t="s">
        <v>309</v>
      </c>
      <c r="BE10" s="150" t="s">
        <v>272</v>
      </c>
      <c r="BF10" s="150" t="s">
        <v>272</v>
      </c>
      <c r="BG10" s="150" t="s">
        <v>273</v>
      </c>
      <c r="BH10" s="150" t="s">
        <v>273</v>
      </c>
    </row>
    <row r="11" spans="1:63" x14ac:dyDescent="0.2">
      <c r="B11" s="119"/>
      <c r="C11" s="118" t="s">
        <v>503</v>
      </c>
      <c r="D11" s="116" t="s">
        <v>509</v>
      </c>
      <c r="E11" s="119"/>
      <c r="F11" s="119"/>
      <c r="G11" s="116" t="s">
        <v>506</v>
      </c>
      <c r="I11" s="119"/>
      <c r="J11" s="116">
        <v>-1.75</v>
      </c>
      <c r="K11" s="118" t="s">
        <v>356</v>
      </c>
      <c r="L11" s="119"/>
      <c r="M11" s="119"/>
      <c r="N11" s="119"/>
      <c r="O11" s="119"/>
      <c r="T11" s="119"/>
      <c r="U11" s="119"/>
      <c r="V11" s="119"/>
      <c r="W11" s="120"/>
      <c r="X11" s="120"/>
      <c r="AC11" s="119"/>
      <c r="AD11" s="116">
        <v>8</v>
      </c>
      <c r="AE11" s="119"/>
      <c r="AF11" s="119"/>
      <c r="AG11" s="119"/>
      <c r="AH11" s="119"/>
      <c r="AI11" s="119"/>
      <c r="AJ11" s="116" t="s">
        <v>254</v>
      </c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BA11" s="149" t="s">
        <v>309</v>
      </c>
      <c r="BB11" s="149" t="s">
        <v>309</v>
      </c>
      <c r="BC11" s="149" t="s">
        <v>310</v>
      </c>
      <c r="BD11" s="149" t="s">
        <v>310</v>
      </c>
      <c r="BE11" s="150" t="s">
        <v>273</v>
      </c>
      <c r="BF11" s="150" t="s">
        <v>273</v>
      </c>
      <c r="BG11" s="150" t="s">
        <v>274</v>
      </c>
      <c r="BH11" s="150" t="s">
        <v>274</v>
      </c>
    </row>
    <row r="12" spans="1:63" x14ac:dyDescent="0.2">
      <c r="B12" s="119"/>
      <c r="C12" s="118" t="s">
        <v>504</v>
      </c>
      <c r="D12" s="116" t="s">
        <v>510</v>
      </c>
      <c r="E12" s="119"/>
      <c r="F12" s="119"/>
      <c r="G12" s="116" t="s">
        <v>508</v>
      </c>
      <c r="I12" s="119"/>
      <c r="J12" s="116">
        <v>-2</v>
      </c>
      <c r="K12" s="116">
        <v>0</v>
      </c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20"/>
      <c r="X12" s="120"/>
      <c r="Y12" s="119"/>
      <c r="Z12" s="119"/>
      <c r="AA12" s="119"/>
      <c r="AB12" s="119"/>
      <c r="AC12" s="119"/>
      <c r="AD12" s="116">
        <v>9</v>
      </c>
      <c r="AE12" s="119"/>
      <c r="AF12" s="119"/>
      <c r="AG12" s="119"/>
      <c r="AH12" s="119"/>
      <c r="AI12" s="119"/>
      <c r="AJ12" s="116" t="s">
        <v>255</v>
      </c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BA12" s="149" t="s">
        <v>310</v>
      </c>
      <c r="BB12" s="149" t="s">
        <v>310</v>
      </c>
      <c r="BC12" s="149" t="s">
        <v>311</v>
      </c>
      <c r="BD12" s="149" t="s">
        <v>311</v>
      </c>
      <c r="BE12" s="150" t="s">
        <v>274</v>
      </c>
      <c r="BF12" s="150" t="s">
        <v>274</v>
      </c>
      <c r="BG12" s="150" t="s">
        <v>275</v>
      </c>
      <c r="BH12" s="150" t="s">
        <v>275</v>
      </c>
    </row>
    <row r="13" spans="1:63" x14ac:dyDescent="0.2">
      <c r="B13" s="119"/>
      <c r="C13" s="118" t="s">
        <v>505</v>
      </c>
      <c r="D13" s="116" t="s">
        <v>511</v>
      </c>
      <c r="E13" s="119"/>
      <c r="F13" s="119"/>
      <c r="I13" s="119"/>
      <c r="J13" s="116">
        <v>-2.25</v>
      </c>
      <c r="K13" s="116" t="s">
        <v>358</v>
      </c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20"/>
      <c r="X13" s="120"/>
      <c r="Y13" s="119"/>
      <c r="Z13" s="119"/>
      <c r="AA13" s="119"/>
      <c r="AB13" s="119"/>
      <c r="AC13" s="119"/>
      <c r="AD13" s="116">
        <v>10</v>
      </c>
      <c r="AE13" s="119"/>
      <c r="AF13" s="119"/>
      <c r="AG13" s="119"/>
      <c r="AH13" s="119"/>
      <c r="AI13" s="119"/>
      <c r="AJ13" s="116" t="s">
        <v>256</v>
      </c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BA13" s="149" t="s">
        <v>311</v>
      </c>
      <c r="BB13" s="149" t="s">
        <v>311</v>
      </c>
      <c r="BC13" s="149" t="s">
        <v>312</v>
      </c>
      <c r="BD13" s="149" t="s">
        <v>312</v>
      </c>
      <c r="BE13" s="150" t="s">
        <v>275</v>
      </c>
      <c r="BF13" s="150" t="s">
        <v>275</v>
      </c>
      <c r="BG13" s="150" t="s">
        <v>276</v>
      </c>
      <c r="BH13" s="150" t="s">
        <v>276</v>
      </c>
    </row>
    <row r="14" spans="1:63" x14ac:dyDescent="0.2">
      <c r="B14" s="119"/>
      <c r="C14" s="119"/>
      <c r="E14" s="119"/>
      <c r="F14" s="119"/>
      <c r="I14" s="119"/>
      <c r="J14" s="116">
        <v>-2.5</v>
      </c>
      <c r="K14" s="116" t="s">
        <v>359</v>
      </c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20"/>
      <c r="X14" s="120"/>
      <c r="Y14" s="119"/>
      <c r="Z14" s="119"/>
      <c r="AA14" s="119"/>
      <c r="AB14" s="119"/>
      <c r="AC14" s="119"/>
      <c r="AD14" s="116">
        <v>11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BA14" s="149" t="s">
        <v>312</v>
      </c>
      <c r="BB14" s="149" t="s">
        <v>312</v>
      </c>
      <c r="BC14" s="149" t="s">
        <v>313</v>
      </c>
      <c r="BD14" s="149" t="s">
        <v>313</v>
      </c>
      <c r="BE14" s="150" t="s">
        <v>276</v>
      </c>
      <c r="BF14" s="150" t="s">
        <v>276</v>
      </c>
      <c r="BG14" s="150" t="s">
        <v>277</v>
      </c>
      <c r="BH14" s="150" t="s">
        <v>277</v>
      </c>
    </row>
    <row r="15" spans="1:63" x14ac:dyDescent="0.2">
      <c r="B15" s="119"/>
      <c r="C15" s="119"/>
      <c r="E15" s="119"/>
      <c r="F15" s="119"/>
      <c r="G15" s="119"/>
      <c r="I15" s="119"/>
      <c r="J15" s="116">
        <v>-2.75</v>
      </c>
      <c r="K15" s="116" t="s">
        <v>360</v>
      </c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20"/>
      <c r="X15" s="120"/>
      <c r="Y15" s="119"/>
      <c r="Z15" s="119"/>
      <c r="AA15" s="119"/>
      <c r="AB15" s="119"/>
      <c r="AC15" s="119"/>
      <c r="AD15" s="116">
        <v>12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BA15" s="149" t="s">
        <v>313</v>
      </c>
      <c r="BB15" s="149" t="s">
        <v>313</v>
      </c>
      <c r="BC15" s="149" t="s">
        <v>314</v>
      </c>
      <c r="BD15" s="149" t="s">
        <v>314</v>
      </c>
      <c r="BE15" s="150" t="s">
        <v>277</v>
      </c>
      <c r="BF15" s="150" t="s">
        <v>277</v>
      </c>
      <c r="BG15" s="150" t="s">
        <v>278</v>
      </c>
      <c r="BH15" s="150" t="s">
        <v>278</v>
      </c>
    </row>
    <row r="16" spans="1:63" x14ac:dyDescent="0.2">
      <c r="B16" s="119"/>
      <c r="C16" s="119"/>
      <c r="E16" s="119"/>
      <c r="F16" s="119"/>
      <c r="G16" s="119"/>
      <c r="I16" s="119"/>
      <c r="J16" s="116">
        <v>-3</v>
      </c>
      <c r="K16" s="116" t="s">
        <v>361</v>
      </c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20"/>
      <c r="X16" s="120"/>
      <c r="Y16" s="119"/>
      <c r="Z16" s="119"/>
      <c r="AA16" s="119"/>
      <c r="AB16" s="119"/>
      <c r="AC16" s="119"/>
      <c r="AD16" s="116">
        <v>13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BA16" s="149" t="s">
        <v>314</v>
      </c>
      <c r="BB16" s="149" t="s">
        <v>314</v>
      </c>
      <c r="BC16" s="149" t="s">
        <v>315</v>
      </c>
      <c r="BD16" s="149" t="s">
        <v>315</v>
      </c>
      <c r="BE16" s="150" t="s">
        <v>278</v>
      </c>
      <c r="BF16" s="150" t="s">
        <v>278</v>
      </c>
      <c r="BG16" s="150" t="s">
        <v>279</v>
      </c>
      <c r="BH16" s="150" t="s">
        <v>279</v>
      </c>
    </row>
    <row r="17" spans="2:60" x14ac:dyDescent="0.2">
      <c r="B17" s="119"/>
      <c r="C17" s="119"/>
      <c r="E17" s="119"/>
      <c r="F17" s="119"/>
      <c r="G17" s="119"/>
      <c r="I17" s="119"/>
      <c r="J17" s="116">
        <v>-3.25</v>
      </c>
      <c r="K17" s="116" t="s">
        <v>362</v>
      </c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20"/>
      <c r="X17" s="120"/>
      <c r="Y17" s="119"/>
      <c r="Z17" s="119"/>
      <c r="AA17" s="119"/>
      <c r="AB17" s="119"/>
      <c r="AC17" s="119"/>
      <c r="AD17" s="116">
        <v>14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BA17" s="149" t="s">
        <v>315</v>
      </c>
      <c r="BB17" s="149" t="s">
        <v>315</v>
      </c>
      <c r="BC17" s="149" t="s">
        <v>316</v>
      </c>
      <c r="BD17" s="149" t="s">
        <v>316</v>
      </c>
      <c r="BE17" s="150" t="s">
        <v>279</v>
      </c>
      <c r="BF17" s="150" t="s">
        <v>279</v>
      </c>
      <c r="BG17" s="150" t="s">
        <v>280</v>
      </c>
      <c r="BH17" s="150" t="s">
        <v>280</v>
      </c>
    </row>
    <row r="18" spans="2:60" x14ac:dyDescent="0.2">
      <c r="B18" s="119"/>
      <c r="C18" s="119"/>
      <c r="E18" s="119"/>
      <c r="F18" s="119"/>
      <c r="G18" s="119"/>
      <c r="I18" s="119"/>
      <c r="J18" s="116">
        <v>-3.5</v>
      </c>
      <c r="K18" s="116" t="s">
        <v>363</v>
      </c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20"/>
      <c r="X18" s="120"/>
      <c r="Y18" s="119"/>
      <c r="Z18" s="119"/>
      <c r="AA18" s="119"/>
      <c r="AB18" s="119"/>
      <c r="AC18" s="119"/>
      <c r="AD18" s="116">
        <v>15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BA18" s="149" t="s">
        <v>316</v>
      </c>
      <c r="BB18" s="149" t="s">
        <v>316</v>
      </c>
      <c r="BC18" s="149" t="s">
        <v>317</v>
      </c>
      <c r="BD18" s="149" t="s">
        <v>317</v>
      </c>
      <c r="BE18" s="150" t="s">
        <v>280</v>
      </c>
      <c r="BF18" s="150" t="s">
        <v>280</v>
      </c>
      <c r="BG18" s="150" t="s">
        <v>281</v>
      </c>
      <c r="BH18" s="150" t="s">
        <v>281</v>
      </c>
    </row>
    <row r="19" spans="2:60" x14ac:dyDescent="0.2">
      <c r="B19" s="119"/>
      <c r="C19" s="119"/>
      <c r="E19" s="119"/>
      <c r="F19" s="119"/>
      <c r="G19" s="119"/>
      <c r="I19" s="119"/>
      <c r="J19" s="116">
        <v>-3.75</v>
      </c>
      <c r="K19" s="116" t="s">
        <v>364</v>
      </c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20"/>
      <c r="X19" s="120"/>
      <c r="Y19" s="119"/>
      <c r="Z19" s="119"/>
      <c r="AA19" s="119"/>
      <c r="AB19" s="119"/>
      <c r="AC19" s="119"/>
      <c r="AD19" s="116">
        <v>16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BA19" s="149" t="s">
        <v>317</v>
      </c>
      <c r="BB19" s="149" t="s">
        <v>317</v>
      </c>
      <c r="BC19" s="149" t="s">
        <v>318</v>
      </c>
      <c r="BD19" s="149" t="s">
        <v>318</v>
      </c>
      <c r="BE19" s="150" t="s">
        <v>281</v>
      </c>
      <c r="BF19" s="150" t="s">
        <v>281</v>
      </c>
      <c r="BG19" s="150" t="s">
        <v>282</v>
      </c>
      <c r="BH19" s="150" t="s">
        <v>282</v>
      </c>
    </row>
    <row r="20" spans="2:60" x14ac:dyDescent="0.2">
      <c r="B20" s="119"/>
      <c r="C20" s="119"/>
      <c r="E20" s="119"/>
      <c r="F20" s="119"/>
      <c r="G20" s="119"/>
      <c r="I20" s="119"/>
      <c r="J20" s="116">
        <v>-4</v>
      </c>
      <c r="K20" s="116" t="s">
        <v>365</v>
      </c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20"/>
      <c r="X20" s="120"/>
      <c r="Y20" s="119"/>
      <c r="Z20" s="119"/>
      <c r="AA20" s="119"/>
      <c r="AB20" s="119"/>
      <c r="AC20" s="119"/>
      <c r="AD20" s="116">
        <v>17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BA20" s="149" t="s">
        <v>318</v>
      </c>
      <c r="BB20" s="149" t="s">
        <v>318</v>
      </c>
      <c r="BC20" s="149" t="s">
        <v>319</v>
      </c>
      <c r="BD20" s="149" t="s">
        <v>319</v>
      </c>
      <c r="BE20" s="150" t="s">
        <v>282</v>
      </c>
      <c r="BF20" s="150" t="s">
        <v>282</v>
      </c>
      <c r="BG20" s="150" t="s">
        <v>283</v>
      </c>
      <c r="BH20" s="150" t="s">
        <v>283</v>
      </c>
    </row>
    <row r="21" spans="2:60" x14ac:dyDescent="0.2">
      <c r="B21" s="119"/>
      <c r="C21" s="119"/>
      <c r="E21" s="119"/>
      <c r="F21" s="119"/>
      <c r="G21" s="119"/>
      <c r="I21" s="119"/>
      <c r="J21" s="116">
        <v>-4.25</v>
      </c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20"/>
      <c r="X21" s="120"/>
      <c r="Y21" s="119"/>
      <c r="Z21" s="119"/>
      <c r="AA21" s="119"/>
      <c r="AB21" s="119"/>
      <c r="AC21" s="119"/>
      <c r="AD21" s="116">
        <v>18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BA21" s="149" t="s">
        <v>319</v>
      </c>
      <c r="BB21" s="149" t="s">
        <v>319</v>
      </c>
      <c r="BC21" s="149" t="s">
        <v>320</v>
      </c>
      <c r="BD21" s="149" t="s">
        <v>320</v>
      </c>
      <c r="BE21" s="150" t="s">
        <v>283</v>
      </c>
      <c r="BF21" s="150" t="s">
        <v>283</v>
      </c>
      <c r="BG21" s="150" t="s">
        <v>284</v>
      </c>
      <c r="BH21" s="150" t="s">
        <v>284</v>
      </c>
    </row>
    <row r="22" spans="2:60" x14ac:dyDescent="0.2">
      <c r="B22" s="119"/>
      <c r="C22" s="119"/>
      <c r="E22" s="119"/>
      <c r="F22" s="119"/>
      <c r="G22" s="119"/>
      <c r="I22" s="119"/>
      <c r="J22" s="116">
        <v>-4.5</v>
      </c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20"/>
      <c r="X22" s="120"/>
      <c r="Y22" s="119"/>
      <c r="Z22" s="119"/>
      <c r="AA22" s="119"/>
      <c r="AB22" s="119"/>
      <c r="AC22" s="119"/>
      <c r="AD22" s="116">
        <v>19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BA22" s="149" t="s">
        <v>320</v>
      </c>
      <c r="BB22" s="149" t="s">
        <v>320</v>
      </c>
      <c r="BC22" s="149" t="s">
        <v>321</v>
      </c>
      <c r="BD22" s="149" t="s">
        <v>321</v>
      </c>
      <c r="BE22" s="150" t="s">
        <v>284</v>
      </c>
      <c r="BF22" s="150" t="s">
        <v>284</v>
      </c>
      <c r="BG22" s="150" t="s">
        <v>285</v>
      </c>
      <c r="BH22" s="150" t="s">
        <v>285</v>
      </c>
    </row>
    <row r="23" spans="2:60" x14ac:dyDescent="0.2">
      <c r="B23" s="119"/>
      <c r="C23" s="119"/>
      <c r="E23" s="119"/>
      <c r="F23" s="119"/>
      <c r="G23" s="119"/>
      <c r="I23" s="119"/>
      <c r="J23" s="116">
        <v>-4.75</v>
      </c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20"/>
      <c r="X23" s="120"/>
      <c r="Y23" s="119"/>
      <c r="Z23" s="119"/>
      <c r="AA23" s="119"/>
      <c r="AB23" s="119"/>
      <c r="AC23" s="119"/>
      <c r="AD23" s="116">
        <v>20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BA23" s="149" t="s">
        <v>321</v>
      </c>
      <c r="BB23" s="149" t="s">
        <v>321</v>
      </c>
      <c r="BC23" s="149" t="s">
        <v>322</v>
      </c>
      <c r="BD23" s="149" t="s">
        <v>322</v>
      </c>
      <c r="BE23" s="150" t="s">
        <v>285</v>
      </c>
      <c r="BF23" s="150" t="s">
        <v>285</v>
      </c>
      <c r="BG23" s="150" t="s">
        <v>286</v>
      </c>
      <c r="BH23" s="150" t="s">
        <v>286</v>
      </c>
    </row>
    <row r="24" spans="2:60" x14ac:dyDescent="0.2">
      <c r="B24" s="119"/>
      <c r="C24" s="119"/>
      <c r="E24" s="119"/>
      <c r="F24" s="119"/>
      <c r="G24" s="119"/>
      <c r="I24" s="119"/>
      <c r="J24" s="116">
        <v>-5</v>
      </c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20"/>
      <c r="X24" s="120"/>
      <c r="Y24" s="119"/>
      <c r="Z24" s="119"/>
      <c r="AA24" s="119"/>
      <c r="AB24" s="119"/>
      <c r="AC24" s="119"/>
      <c r="AD24" s="116">
        <v>21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BA24" s="149" t="s">
        <v>322</v>
      </c>
      <c r="BB24" s="149" t="s">
        <v>322</v>
      </c>
      <c r="BC24" s="149" t="s">
        <v>323</v>
      </c>
      <c r="BD24" s="149" t="s">
        <v>323</v>
      </c>
      <c r="BE24" s="150" t="s">
        <v>286</v>
      </c>
      <c r="BF24" s="150" t="s">
        <v>286</v>
      </c>
      <c r="BG24" s="150" t="s">
        <v>287</v>
      </c>
      <c r="BH24" s="150" t="s">
        <v>287</v>
      </c>
    </row>
    <row r="25" spans="2:60" x14ac:dyDescent="0.2">
      <c r="B25" s="119"/>
      <c r="C25" s="119"/>
      <c r="E25" s="119"/>
      <c r="F25" s="119"/>
      <c r="G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20"/>
      <c r="X25" s="120"/>
      <c r="Y25" s="119"/>
      <c r="Z25" s="119"/>
      <c r="AA25" s="119"/>
      <c r="AB25" s="119"/>
      <c r="AC25" s="119"/>
      <c r="AD25" s="116">
        <v>22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BA25" s="149" t="s">
        <v>323</v>
      </c>
      <c r="BB25" s="149" t="s">
        <v>323</v>
      </c>
      <c r="BC25" s="149" t="s">
        <v>324</v>
      </c>
      <c r="BD25" s="149" t="s">
        <v>324</v>
      </c>
      <c r="BE25" s="150" t="s">
        <v>287</v>
      </c>
      <c r="BF25" s="150" t="s">
        <v>287</v>
      </c>
      <c r="BG25" s="150" t="s">
        <v>288</v>
      </c>
      <c r="BH25" s="150" t="s">
        <v>288</v>
      </c>
    </row>
    <row r="26" spans="2:60" x14ac:dyDescent="0.2">
      <c r="B26" s="119"/>
      <c r="C26" s="119"/>
      <c r="E26" s="119"/>
      <c r="F26" s="119"/>
      <c r="G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20"/>
      <c r="X26" s="120"/>
      <c r="Y26" s="119"/>
      <c r="Z26" s="119"/>
      <c r="AA26" s="119"/>
      <c r="AB26" s="119"/>
      <c r="AC26" s="119"/>
      <c r="AD26" s="116">
        <v>23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BA26" s="149" t="s">
        <v>324</v>
      </c>
      <c r="BB26" s="149" t="s">
        <v>324</v>
      </c>
      <c r="BC26" s="149" t="s">
        <v>325</v>
      </c>
      <c r="BD26" s="149" t="s">
        <v>325</v>
      </c>
      <c r="BE26" s="150" t="s">
        <v>288</v>
      </c>
      <c r="BF26" s="150" t="s">
        <v>288</v>
      </c>
      <c r="BG26" s="150" t="s">
        <v>289</v>
      </c>
      <c r="BH26" s="150" t="s">
        <v>289</v>
      </c>
    </row>
    <row r="27" spans="2:60" x14ac:dyDescent="0.2">
      <c r="B27" s="119"/>
      <c r="C27" s="119"/>
      <c r="E27" s="119"/>
      <c r="F27" s="119"/>
      <c r="G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20"/>
      <c r="X27" s="120"/>
      <c r="Y27" s="119"/>
      <c r="Z27" s="119"/>
      <c r="AA27" s="119"/>
      <c r="AB27" s="119"/>
      <c r="AC27" s="119"/>
      <c r="AD27" s="116">
        <v>24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BA27" s="149" t="s">
        <v>325</v>
      </c>
      <c r="BB27" s="149" t="s">
        <v>325</v>
      </c>
      <c r="BC27" s="149" t="s">
        <v>326</v>
      </c>
      <c r="BD27" s="149" t="s">
        <v>326</v>
      </c>
      <c r="BE27" s="150" t="s">
        <v>289</v>
      </c>
      <c r="BF27" s="150" t="s">
        <v>289</v>
      </c>
      <c r="BG27" s="150" t="s">
        <v>290</v>
      </c>
      <c r="BH27" s="150" t="s">
        <v>290</v>
      </c>
    </row>
    <row r="28" spans="2:60" x14ac:dyDescent="0.2">
      <c r="B28" s="119"/>
      <c r="C28" s="119"/>
      <c r="E28" s="119"/>
      <c r="F28" s="119"/>
      <c r="G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20"/>
      <c r="X28" s="120"/>
      <c r="Y28" s="119"/>
      <c r="Z28" s="119"/>
      <c r="AA28" s="119"/>
      <c r="AB28" s="119"/>
      <c r="AC28" s="119"/>
      <c r="AD28" s="116">
        <v>25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BA28" s="149" t="s">
        <v>326</v>
      </c>
      <c r="BB28" s="149" t="s">
        <v>326</v>
      </c>
      <c r="BC28" s="149" t="s">
        <v>327</v>
      </c>
      <c r="BD28" s="149" t="s">
        <v>327</v>
      </c>
      <c r="BE28" s="150" t="s">
        <v>290</v>
      </c>
      <c r="BF28" s="150" t="s">
        <v>290</v>
      </c>
      <c r="BG28" s="150" t="s">
        <v>291</v>
      </c>
      <c r="BH28" s="150" t="s">
        <v>291</v>
      </c>
    </row>
    <row r="29" spans="2:60" x14ac:dyDescent="0.2"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20"/>
      <c r="X29" s="120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BA29" s="149" t="s">
        <v>327</v>
      </c>
      <c r="BB29" s="149" t="s">
        <v>327</v>
      </c>
      <c r="BC29" s="149" t="s">
        <v>328</v>
      </c>
      <c r="BD29" s="149" t="s">
        <v>328</v>
      </c>
      <c r="BE29" s="150" t="s">
        <v>291</v>
      </c>
      <c r="BF29" s="150" t="s">
        <v>291</v>
      </c>
      <c r="BG29" s="150" t="s">
        <v>292</v>
      </c>
      <c r="BH29" s="150" t="s">
        <v>292</v>
      </c>
    </row>
    <row r="30" spans="2:60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20"/>
      <c r="X30" s="120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BA30" s="149" t="s">
        <v>328</v>
      </c>
      <c r="BB30" s="149" t="s">
        <v>328</v>
      </c>
      <c r="BC30" s="149" t="s">
        <v>329</v>
      </c>
      <c r="BD30" s="149" t="s">
        <v>329</v>
      </c>
      <c r="BE30" s="150" t="s">
        <v>292</v>
      </c>
      <c r="BF30" s="150" t="s">
        <v>292</v>
      </c>
      <c r="BG30" s="150" t="s">
        <v>293</v>
      </c>
      <c r="BH30" s="150" t="s">
        <v>293</v>
      </c>
    </row>
    <row r="31" spans="2:60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20"/>
      <c r="X31" s="120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BA31" s="149" t="s">
        <v>329</v>
      </c>
      <c r="BB31" s="149" t="s">
        <v>329</v>
      </c>
      <c r="BC31" s="149" t="s">
        <v>330</v>
      </c>
      <c r="BD31" s="149" t="s">
        <v>330</v>
      </c>
      <c r="BE31" s="150" t="s">
        <v>293</v>
      </c>
      <c r="BF31" s="150" t="s">
        <v>293</v>
      </c>
      <c r="BG31" s="150" t="s">
        <v>294</v>
      </c>
      <c r="BH31" s="150" t="s">
        <v>294</v>
      </c>
    </row>
    <row r="32" spans="2:60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20"/>
      <c r="X32" s="120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BA32" s="149" t="s">
        <v>330</v>
      </c>
      <c r="BB32" s="149" t="s">
        <v>330</v>
      </c>
      <c r="BC32" s="149" t="s">
        <v>331</v>
      </c>
      <c r="BD32" s="149" t="s">
        <v>331</v>
      </c>
      <c r="BE32" s="150" t="s">
        <v>294</v>
      </c>
      <c r="BF32" s="150" t="s">
        <v>294</v>
      </c>
      <c r="BG32" s="150" t="s">
        <v>295</v>
      </c>
      <c r="BH32" s="150" t="s">
        <v>295</v>
      </c>
    </row>
    <row r="33" spans="2:63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20"/>
      <c r="X33" s="120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BA33" s="149" t="s">
        <v>331</v>
      </c>
      <c r="BB33" s="149" t="s">
        <v>331</v>
      </c>
      <c r="BC33" s="149" t="s">
        <v>332</v>
      </c>
      <c r="BD33" s="149" t="s">
        <v>332</v>
      </c>
      <c r="BE33" s="150" t="s">
        <v>295</v>
      </c>
      <c r="BF33" s="150" t="s">
        <v>295</v>
      </c>
      <c r="BG33" s="150" t="s">
        <v>296</v>
      </c>
      <c r="BH33" s="150" t="s">
        <v>296</v>
      </c>
    </row>
    <row r="34" spans="2:63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20"/>
      <c r="X34" s="120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BA34" s="149" t="s">
        <v>332</v>
      </c>
      <c r="BB34" s="149" t="s">
        <v>332</v>
      </c>
      <c r="BC34" s="149" t="s">
        <v>333</v>
      </c>
      <c r="BD34" s="149" t="s">
        <v>333</v>
      </c>
      <c r="BE34" s="150" t="s">
        <v>296</v>
      </c>
      <c r="BF34" s="150" t="s">
        <v>296</v>
      </c>
      <c r="BG34" s="150" t="s">
        <v>297</v>
      </c>
      <c r="BH34" s="150" t="s">
        <v>297</v>
      </c>
    </row>
    <row r="35" spans="2:63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20"/>
      <c r="X35" s="120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BA35" s="149" t="s">
        <v>333</v>
      </c>
      <c r="BB35" s="149" t="s">
        <v>333</v>
      </c>
      <c r="BC35" s="149" t="s">
        <v>334</v>
      </c>
      <c r="BD35" s="149" t="s">
        <v>334</v>
      </c>
      <c r="BE35" s="150" t="s">
        <v>297</v>
      </c>
      <c r="BF35" s="150" t="s">
        <v>297</v>
      </c>
      <c r="BG35" s="150" t="s">
        <v>298</v>
      </c>
      <c r="BH35" s="150" t="s">
        <v>298</v>
      </c>
    </row>
    <row r="36" spans="2:63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20"/>
      <c r="X36" s="120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BA36" s="149" t="s">
        <v>334</v>
      </c>
      <c r="BB36" s="149" t="s">
        <v>334</v>
      </c>
      <c r="BC36" s="149" t="s">
        <v>335</v>
      </c>
      <c r="BD36" s="149" t="s">
        <v>335</v>
      </c>
      <c r="BE36" s="150" t="s">
        <v>298</v>
      </c>
      <c r="BF36" s="150" t="s">
        <v>298</v>
      </c>
      <c r="BG36" s="150" t="s">
        <v>299</v>
      </c>
      <c r="BH36" s="150" t="s">
        <v>299</v>
      </c>
    </row>
    <row r="37" spans="2:63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20"/>
      <c r="X37" s="120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BA37" s="149" t="s">
        <v>335</v>
      </c>
      <c r="BB37" s="149" t="s">
        <v>335</v>
      </c>
      <c r="BC37" s="149" t="s">
        <v>336</v>
      </c>
      <c r="BD37" s="149" t="s">
        <v>336</v>
      </c>
      <c r="BE37" s="150" t="s">
        <v>299</v>
      </c>
      <c r="BF37" s="150" t="s">
        <v>299</v>
      </c>
      <c r="BG37" s="150" t="s">
        <v>300</v>
      </c>
      <c r="BH37" s="150" t="s">
        <v>300</v>
      </c>
    </row>
    <row r="38" spans="2:63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20"/>
      <c r="X38" s="120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BA38" s="149" t="s">
        <v>336</v>
      </c>
      <c r="BB38" s="149" t="s">
        <v>336</v>
      </c>
      <c r="BC38" s="149" t="s">
        <v>337</v>
      </c>
      <c r="BD38" s="149" t="s">
        <v>337</v>
      </c>
      <c r="BE38" s="150" t="s">
        <v>300</v>
      </c>
      <c r="BF38" s="150" t="s">
        <v>300</v>
      </c>
      <c r="BG38" s="150" t="s">
        <v>301</v>
      </c>
      <c r="BH38" s="150" t="s">
        <v>301</v>
      </c>
    </row>
    <row r="39" spans="2:63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20"/>
      <c r="X39" s="120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BA39" s="149" t="s">
        <v>337</v>
      </c>
      <c r="BB39" s="149" t="s">
        <v>337</v>
      </c>
      <c r="BC39" s="149" t="s">
        <v>338</v>
      </c>
      <c r="BD39" s="149" t="s">
        <v>338</v>
      </c>
      <c r="BE39" s="150" t="s">
        <v>301</v>
      </c>
      <c r="BF39" s="150" t="s">
        <v>301</v>
      </c>
      <c r="BG39" s="150" t="s">
        <v>302</v>
      </c>
      <c r="BH39" s="150" t="s">
        <v>302</v>
      </c>
    </row>
    <row r="40" spans="2:63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20"/>
      <c r="X40" s="120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BA40" s="149" t="s">
        <v>338</v>
      </c>
      <c r="BB40" s="149" t="s">
        <v>338</v>
      </c>
      <c r="BC40" s="149" t="s">
        <v>339</v>
      </c>
      <c r="BD40" s="149" t="s">
        <v>339</v>
      </c>
      <c r="BE40" s="150" t="s">
        <v>302</v>
      </c>
      <c r="BF40" s="150" t="s">
        <v>302</v>
      </c>
      <c r="BG40" s="149"/>
      <c r="BH40" s="149"/>
    </row>
    <row r="41" spans="2:63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20"/>
      <c r="X41" s="120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BA41" s="149" t="s">
        <v>339</v>
      </c>
      <c r="BB41" s="149" t="s">
        <v>339</v>
      </c>
      <c r="BC41" s="149" t="s">
        <v>340</v>
      </c>
      <c r="BD41" s="149" t="s">
        <v>340</v>
      </c>
      <c r="BE41" s="149"/>
      <c r="BF41" s="149"/>
      <c r="BG41" s="149"/>
      <c r="BH41" s="149"/>
    </row>
    <row r="42" spans="2:63" x14ac:dyDescent="0.2"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20"/>
      <c r="X42" s="120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BA42" s="149" t="s">
        <v>340</v>
      </c>
      <c r="BB42" s="149" t="s">
        <v>340</v>
      </c>
      <c r="BC42" s="149" t="s">
        <v>341</v>
      </c>
      <c r="BD42" s="149" t="s">
        <v>341</v>
      </c>
      <c r="BE42" s="149"/>
      <c r="BF42" s="149"/>
      <c r="BG42" s="149"/>
      <c r="BH42" s="149"/>
    </row>
    <row r="43" spans="2:63" x14ac:dyDescent="0.2"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20"/>
      <c r="X43" s="120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BA43" s="149" t="s">
        <v>341</v>
      </c>
      <c r="BB43" s="149" t="s">
        <v>341</v>
      </c>
      <c r="BC43" s="149" t="s">
        <v>342</v>
      </c>
      <c r="BD43" s="149" t="s">
        <v>342</v>
      </c>
      <c r="BE43" s="149"/>
      <c r="BF43" s="149"/>
      <c r="BG43" s="149"/>
      <c r="BH43" s="149"/>
    </row>
    <row r="44" spans="2:63" x14ac:dyDescent="0.2"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20"/>
      <c r="X44" s="120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BA44" s="149" t="s">
        <v>342</v>
      </c>
      <c r="BB44" s="149" t="s">
        <v>342</v>
      </c>
      <c r="BC44" s="149" t="s">
        <v>343</v>
      </c>
      <c r="BD44" s="149" t="s">
        <v>343</v>
      </c>
      <c r="BE44" s="149"/>
      <c r="BF44" s="149"/>
      <c r="BG44" s="149"/>
      <c r="BH44" s="149"/>
    </row>
    <row r="45" spans="2:63" x14ac:dyDescent="0.2"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20"/>
      <c r="X45" s="120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BA45" s="151" t="s">
        <v>343</v>
      </c>
      <c r="BB45" s="151" t="s">
        <v>343</v>
      </c>
      <c r="BC45" s="151" t="s">
        <v>344</v>
      </c>
      <c r="BD45" s="151" t="s">
        <v>344</v>
      </c>
      <c r="BE45" s="151"/>
      <c r="BF45" s="151"/>
      <c r="BG45" s="151"/>
      <c r="BH45" s="151"/>
      <c r="BI45" s="152"/>
      <c r="BJ45" s="152"/>
      <c r="BK45" s="152"/>
    </row>
    <row r="46" spans="2:63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20"/>
      <c r="X46" s="120"/>
      <c r="Y46" s="119"/>
      <c r="Z46" s="119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BA46" s="149" t="s">
        <v>344</v>
      </c>
      <c r="BB46" s="149" t="s">
        <v>344</v>
      </c>
      <c r="BC46" s="149"/>
      <c r="BD46" s="149"/>
      <c r="BE46" s="149"/>
      <c r="BF46" s="149"/>
      <c r="BG46" s="149"/>
      <c r="BH46" s="149"/>
    </row>
    <row r="47" spans="2:63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20"/>
      <c r="X47" s="120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</row>
    <row r="48" spans="2:63" x14ac:dyDescent="0.2"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20"/>
      <c r="X48" s="120"/>
      <c r="Y48" s="119"/>
      <c r="Z48" s="119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</row>
    <row r="49" spans="2:63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20"/>
      <c r="X49" s="120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</row>
    <row r="50" spans="2:63" x14ac:dyDescent="0.2"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20"/>
      <c r="X50" s="120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</row>
    <row r="51" spans="2:63" x14ac:dyDescent="0.2"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19"/>
      <c r="BE51" s="119"/>
      <c r="BF51" s="119"/>
      <c r="BG51" s="119"/>
      <c r="BH51" s="119"/>
      <c r="BI51" s="119"/>
      <c r="BJ51" s="119"/>
      <c r="BK51" s="11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4D6B0-CA48-4915-9E1B-9EF1800F407C}">
  <sheetPr codeName="Sheet4"/>
  <dimension ref="A3:M44"/>
  <sheetViews>
    <sheetView topLeftCell="H1" workbookViewId="0">
      <selection activeCell="K9" sqref="K9"/>
    </sheetView>
  </sheetViews>
  <sheetFormatPr defaultRowHeight="15" x14ac:dyDescent="0.25"/>
  <cols>
    <col min="1" max="2" width="9.140625" style="236"/>
    <col min="3" max="3" width="17.28515625" style="236" customWidth="1"/>
    <col min="4" max="8" width="9.140625" style="236"/>
    <col min="9" max="9" width="25.140625" style="236" customWidth="1"/>
    <col min="10" max="16384" width="9.140625" style="236"/>
  </cols>
  <sheetData>
    <row r="3" spans="1:13" x14ac:dyDescent="0.25">
      <c r="C3" s="236" t="s">
        <v>401</v>
      </c>
      <c r="D3" s="236">
        <f>(D22*D23+D7+D21)*2</f>
        <v>6726.4851131401347</v>
      </c>
      <c r="E3" s="236">
        <f>(D22*E23+E7+E21)*2</f>
        <v>5533.5148868598644</v>
      </c>
      <c r="J3" s="236" t="s">
        <v>402</v>
      </c>
      <c r="K3" s="236" t="s">
        <v>403</v>
      </c>
    </row>
    <row r="4" spans="1:13" x14ac:dyDescent="0.25">
      <c r="I4" s="236" t="s">
        <v>455</v>
      </c>
      <c r="J4" s="237">
        <v>345</v>
      </c>
      <c r="K4" s="236" t="s">
        <v>69</v>
      </c>
    </row>
    <row r="6" spans="1:13" x14ac:dyDescent="0.25">
      <c r="I6" s="236" t="s">
        <v>404</v>
      </c>
      <c r="J6" s="238">
        <f>29.5+((SetupOverview!D31+SetupOverview!D32)/2)</f>
        <v>62.5</v>
      </c>
      <c r="K6" s="238">
        <f>31.7+((SetupOverview!D33+SetupOverview!D34)/2)</f>
        <v>81.7</v>
      </c>
      <c r="L6" s="236" t="s">
        <v>69</v>
      </c>
    </row>
    <row r="7" spans="1:13" x14ac:dyDescent="0.25">
      <c r="A7" s="236" t="s">
        <v>405</v>
      </c>
      <c r="C7" s="236" t="s">
        <v>406</v>
      </c>
      <c r="D7" s="236">
        <v>377</v>
      </c>
      <c r="E7" s="236">
        <v>424</v>
      </c>
      <c r="F7" s="236" t="s">
        <v>407</v>
      </c>
      <c r="I7" s="236" t="s">
        <v>456</v>
      </c>
      <c r="J7" s="236">
        <f>(J6+K6)/2</f>
        <v>72.099999999999994</v>
      </c>
      <c r="K7" s="236" t="s">
        <v>69</v>
      </c>
    </row>
    <row r="9" spans="1:13" x14ac:dyDescent="0.25">
      <c r="I9" s="236" t="s">
        <v>408</v>
      </c>
      <c r="J9" s="238">
        <v>260</v>
      </c>
      <c r="K9" s="238">
        <v>250</v>
      </c>
      <c r="L9" s="236" t="s">
        <v>67</v>
      </c>
    </row>
    <row r="10" spans="1:13" ht="15.75" customHeight="1" x14ac:dyDescent="0.25">
      <c r="I10" s="236" t="s">
        <v>409</v>
      </c>
      <c r="J10" s="239">
        <v>1598</v>
      </c>
      <c r="K10" s="239">
        <v>1558</v>
      </c>
      <c r="L10" s="236" t="s">
        <v>69</v>
      </c>
    </row>
    <row r="11" spans="1:13" ht="15.75" customHeight="1" x14ac:dyDescent="0.25">
      <c r="I11" s="236" t="s">
        <v>410</v>
      </c>
      <c r="J11" s="236">
        <f>(J10+K10)/2</f>
        <v>1578</v>
      </c>
    </row>
    <row r="12" spans="1:13" ht="15.75" customHeight="1" x14ac:dyDescent="0.25">
      <c r="I12" s="236" t="s">
        <v>411</v>
      </c>
      <c r="J12" s="239">
        <v>57</v>
      </c>
      <c r="K12" s="239">
        <v>62</v>
      </c>
      <c r="L12" s="236" t="s">
        <v>412</v>
      </c>
    </row>
    <row r="13" spans="1:13" ht="15.75" customHeight="1" x14ac:dyDescent="0.25">
      <c r="I13" s="236" t="s">
        <v>413</v>
      </c>
      <c r="J13" s="238">
        <v>330</v>
      </c>
      <c r="K13" s="238">
        <v>350</v>
      </c>
      <c r="L13" s="236" t="s">
        <v>69</v>
      </c>
      <c r="M13" s="236" t="s">
        <v>414</v>
      </c>
    </row>
    <row r="14" spans="1:13" x14ac:dyDescent="0.25">
      <c r="I14" s="236" t="s">
        <v>415</v>
      </c>
      <c r="J14" s="239">
        <v>2</v>
      </c>
      <c r="K14" s="236" t="s">
        <v>416</v>
      </c>
    </row>
    <row r="15" spans="1:13" x14ac:dyDescent="0.25">
      <c r="I15" s="236" t="s">
        <v>416</v>
      </c>
      <c r="J15" s="239">
        <v>9.81</v>
      </c>
      <c r="K15" s="236" t="s">
        <v>417</v>
      </c>
    </row>
    <row r="16" spans="1:13" x14ac:dyDescent="0.25">
      <c r="I16" s="236" t="s">
        <v>418</v>
      </c>
      <c r="J16" s="245">
        <f>SetupOverview!D28</f>
        <v>1250.5</v>
      </c>
      <c r="K16" s="236" t="s">
        <v>412</v>
      </c>
    </row>
    <row r="17" spans="3:13" x14ac:dyDescent="0.25">
      <c r="I17" s="236" t="s">
        <v>419</v>
      </c>
      <c r="J17" s="239">
        <v>1.0900000000000001</v>
      </c>
      <c r="K17" s="239">
        <v>1.28</v>
      </c>
    </row>
    <row r="18" spans="3:13" x14ac:dyDescent="0.25">
      <c r="I18" s="236" t="s">
        <v>420</v>
      </c>
      <c r="J18" s="239">
        <v>1.1399999999999999</v>
      </c>
      <c r="K18" s="239">
        <v>2.0299999999999998</v>
      </c>
    </row>
    <row r="19" spans="3:13" x14ac:dyDescent="0.25">
      <c r="I19" s="236" t="s">
        <v>421</v>
      </c>
      <c r="J19" s="244">
        <f>SetupOverview!D62</f>
        <v>228.01519124999999</v>
      </c>
      <c r="K19" s="244">
        <f>SetupOverview!D78</f>
        <v>183.88321875</v>
      </c>
    </row>
    <row r="21" spans="3:13" x14ac:dyDescent="0.25">
      <c r="C21" s="236" t="s">
        <v>422</v>
      </c>
      <c r="D21" s="236">
        <v>212</v>
      </c>
      <c r="E21" s="236">
        <v>539</v>
      </c>
      <c r="F21" s="236" t="s">
        <v>407</v>
      </c>
    </row>
    <row r="22" spans="3:13" x14ac:dyDescent="0.25">
      <c r="C22" s="236" t="s">
        <v>423</v>
      </c>
      <c r="D22" s="236">
        <v>4578</v>
      </c>
      <c r="F22" s="236" t="s">
        <v>407</v>
      </c>
      <c r="I22" s="236" t="s">
        <v>424</v>
      </c>
      <c r="J22" s="236">
        <f>INDEX(Options!O4:O10,MATCH(TRUE,INDEX(Options!N4:N10=SetupOverview!D60,0),0))</f>
        <v>159</v>
      </c>
      <c r="K22" s="247" t="str">
        <f>VLOOKUP(SetupOverview!D76,Options!W4:X10,2)</f>
        <v>135</v>
      </c>
      <c r="L22" s="236" t="s">
        <v>67</v>
      </c>
      <c r="M22" s="236" t="s">
        <v>425</v>
      </c>
    </row>
    <row r="23" spans="3:13" x14ac:dyDescent="0.25">
      <c r="C23" s="236" t="s">
        <v>426</v>
      </c>
      <c r="D23" s="236">
        <f>D29/(D29+E29)</f>
        <v>0.60599444223898369</v>
      </c>
      <c r="E23" s="236">
        <f>E29/(E29+D29)</f>
        <v>0.39400555776101626</v>
      </c>
      <c r="I23" s="236" t="s">
        <v>427</v>
      </c>
      <c r="J23" s="238">
        <v>3000</v>
      </c>
      <c r="K23" s="238">
        <v>3000</v>
      </c>
      <c r="L23" s="236" t="s">
        <v>67</v>
      </c>
      <c r="M23" s="236" t="s">
        <v>428</v>
      </c>
    </row>
    <row r="24" spans="3:13" x14ac:dyDescent="0.25">
      <c r="I24" s="236" t="s">
        <v>429</v>
      </c>
      <c r="J24" s="236">
        <f>(J23*J9)/(J9+J23)</f>
        <v>239.2638036809816</v>
      </c>
      <c r="K24" s="236">
        <f>(K23*K9)/(K9+K23)</f>
        <v>230.76923076923077</v>
      </c>
      <c r="L24" s="236" t="s">
        <v>67</v>
      </c>
      <c r="M24" s="236" t="s">
        <v>408</v>
      </c>
    </row>
    <row r="26" spans="3:13" x14ac:dyDescent="0.25">
      <c r="I26" s="236" t="s">
        <v>430</v>
      </c>
      <c r="J26" s="244">
        <f>SetupOverview!D28*SetupOverview!D26</f>
        <v>466.32039573820396</v>
      </c>
      <c r="K26" s="244">
        <f>J16-J26</f>
        <v>784.17960426179604</v>
      </c>
      <c r="L26" s="236" t="s">
        <v>412</v>
      </c>
      <c r="M26" s="236" t="s">
        <v>431</v>
      </c>
    </row>
    <row r="27" spans="3:13" x14ac:dyDescent="0.25">
      <c r="I27" s="236" t="s">
        <v>406</v>
      </c>
      <c r="J27" s="240">
        <f>2*J12*J14*J15*J13/J10</f>
        <v>461.89261576971222</v>
      </c>
      <c r="K27" s="240">
        <f>2*K12*J14*J15*K13/K10</f>
        <v>546.53915275994871</v>
      </c>
      <c r="L27" s="236" t="s">
        <v>407</v>
      </c>
    </row>
    <row r="28" spans="3:13" x14ac:dyDescent="0.25">
      <c r="I28" s="236" t="s">
        <v>432</v>
      </c>
      <c r="J28" s="240">
        <f>J26*J15*J14*J6/J10</f>
        <v>357.83816350060869</v>
      </c>
      <c r="K28" s="240">
        <f>K26*J15*J14*K6/K10</f>
        <v>806.80605479452072</v>
      </c>
      <c r="L28" s="236" t="s">
        <v>407</v>
      </c>
    </row>
    <row r="29" spans="3:13" x14ac:dyDescent="0.25">
      <c r="C29" s="236" t="s">
        <v>433</v>
      </c>
      <c r="D29" s="236">
        <v>3053</v>
      </c>
      <c r="E29" s="236">
        <v>1985</v>
      </c>
      <c r="F29" s="236" t="s">
        <v>434</v>
      </c>
    </row>
    <row r="30" spans="3:13" x14ac:dyDescent="0.25">
      <c r="I30" s="236" t="s">
        <v>435</v>
      </c>
      <c r="J30" s="236">
        <f>(J26+K26)*J14*J15*(J4-J7)/(AVERAGE(J10:K10))</f>
        <v>4243.0606140684413</v>
      </c>
      <c r="K30" s="236" t="s">
        <v>407</v>
      </c>
    </row>
    <row r="31" spans="3:13" x14ac:dyDescent="0.25">
      <c r="I31" s="236" t="s">
        <v>436</v>
      </c>
      <c r="J31" s="236">
        <f>SUM(J27:K28,J30)</f>
        <v>6416.1366008932318</v>
      </c>
      <c r="K31" s="236" t="s">
        <v>407</v>
      </c>
    </row>
    <row r="32" spans="3:13" x14ac:dyDescent="0.25">
      <c r="I32" s="236" t="s">
        <v>437</v>
      </c>
      <c r="J32" s="236">
        <f>J16*J14*J15*J4/(AVERAGE(J10:K10))</f>
        <v>5364.074429657795</v>
      </c>
      <c r="K32" s="236" t="s">
        <v>407</v>
      </c>
    </row>
    <row r="34" spans="9:12" x14ac:dyDescent="0.25">
      <c r="I34" s="236" t="s">
        <v>438</v>
      </c>
      <c r="J34" s="236">
        <f>(J19+2*J22)*J17^2</f>
        <v>648.72064872412511</v>
      </c>
      <c r="K34" s="236">
        <f>(K19+2*K22)*K17^2</f>
        <v>743.64226559999997</v>
      </c>
      <c r="L34" s="236" t="s">
        <v>67</v>
      </c>
    </row>
    <row r="35" spans="9:12" x14ac:dyDescent="0.25">
      <c r="I35" s="236" t="s">
        <v>439</v>
      </c>
      <c r="J35" s="236">
        <f>(J34*J24)/(J34+J24)/2</f>
        <v>87.397571837956804</v>
      </c>
      <c r="K35" s="236">
        <f>(K34*K24)/(K34+K24)/2</f>
        <v>88.058153172164779</v>
      </c>
      <c r="L35" s="236" t="s">
        <v>67</v>
      </c>
    </row>
    <row r="36" spans="9:12" x14ac:dyDescent="0.25">
      <c r="I36" s="236" t="s">
        <v>433</v>
      </c>
      <c r="J36" s="236">
        <f>J35*(J10/1000)^2*PI()/180*1000</f>
        <v>3895.2046892866783</v>
      </c>
      <c r="K36" s="236">
        <f>K35*(K10/1000)^2*PI()/180*1000</f>
        <v>3730.6271549686021</v>
      </c>
      <c r="L36" s="236" t="s">
        <v>440</v>
      </c>
    </row>
    <row r="37" spans="9:12" x14ac:dyDescent="0.25">
      <c r="I37" s="236" t="s">
        <v>441</v>
      </c>
      <c r="J37" s="236">
        <f>J36/(J36+K36)</f>
        <v>0.51079079224924528</v>
      </c>
      <c r="K37" s="236">
        <f>K36/(J36+K36)</f>
        <v>0.48920920775075466</v>
      </c>
    </row>
    <row r="39" spans="9:12" x14ac:dyDescent="0.25">
      <c r="I39" s="236" t="s">
        <v>442</v>
      </c>
      <c r="J39" s="241">
        <f>(J30*J37+J27+J28)*2</f>
        <v>5974.0941437838183</v>
      </c>
      <c r="K39" s="241">
        <f>(J30*K37+K27+K28)*2</f>
        <v>6858.1790580026436</v>
      </c>
      <c r="L39" s="236" t="s">
        <v>407</v>
      </c>
    </row>
    <row r="40" spans="9:12" x14ac:dyDescent="0.25">
      <c r="I40" s="236" t="s">
        <v>443</v>
      </c>
      <c r="J40" s="242">
        <f>J30*J37*2</f>
        <v>4334.6325852431764</v>
      </c>
      <c r="K40" s="242">
        <f>J30*K37*2</f>
        <v>4151.4886428937052</v>
      </c>
      <c r="L40" s="236" t="s">
        <v>407</v>
      </c>
    </row>
    <row r="42" spans="9:12" x14ac:dyDescent="0.25">
      <c r="I42" s="236" t="s">
        <v>400</v>
      </c>
      <c r="J42" s="243">
        <f>ROUND(J39/(J39+K39)*100,1)</f>
        <v>46.6</v>
      </c>
      <c r="K42" s="236" t="s">
        <v>444</v>
      </c>
    </row>
    <row r="43" spans="9:12" x14ac:dyDescent="0.25">
      <c r="I43" s="236" t="s">
        <v>442</v>
      </c>
      <c r="J43" s="242">
        <f>ROUND(J39+K39,0)</f>
        <v>12832</v>
      </c>
      <c r="K43" s="236" t="s">
        <v>407</v>
      </c>
    </row>
    <row r="44" spans="9:12" x14ac:dyDescent="0.25">
      <c r="I44" s="236" t="s">
        <v>445</v>
      </c>
      <c r="J44" s="242">
        <f>ROUND((J36+K36)/1000,2)</f>
        <v>7.63</v>
      </c>
      <c r="K44" s="236" t="s">
        <v>440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2D79683E53C54487C52F6B780FF89E" ma:contentTypeVersion="10" ma:contentTypeDescription="Create a new document." ma:contentTypeScope="" ma:versionID="4a66a010849f2a32dd6c1996abdb4d1e">
  <xsd:schema xmlns:xsd="http://www.w3.org/2001/XMLSchema" xmlns:xs="http://www.w3.org/2001/XMLSchema" xmlns:p="http://schemas.microsoft.com/office/2006/metadata/properties" xmlns:ns2="ee787fcd-4da0-4c02-91d2-6958282dbc1c" xmlns:ns3="aaf688c8-c419-4a64-8ee6-3ef5dc7a5abf" targetNamespace="http://schemas.microsoft.com/office/2006/metadata/properties" ma:root="true" ma:fieldsID="0c5cc37426d32fabb1fd599c44eb55f4" ns2:_="" ns3:_="">
    <xsd:import namespace="ee787fcd-4da0-4c02-91d2-6958282dbc1c"/>
    <xsd:import namespace="aaf688c8-c419-4a64-8ee6-3ef5dc7a5ab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787fcd-4da0-4c02-91d2-6958282d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f688c8-c419-4a64-8ee6-3ef5dc7a5a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7607D0-7E3F-40C7-96E3-99BC4753F846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aaf688c8-c419-4a64-8ee6-3ef5dc7a5abf"/>
    <ds:schemaRef ds:uri="ee787fcd-4da0-4c02-91d2-6958282dbc1c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AEB7D98-C638-48E2-B990-924BCBCA12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787fcd-4da0-4c02-91d2-6958282dbc1c"/>
    <ds:schemaRef ds:uri="aaf688c8-c419-4a64-8ee6-3ef5dc7a5a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3B3EB89-8CD7-4747-94F6-A322326255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BuildSheet_mechanics</vt:lpstr>
      <vt:lpstr>SetupSheet_mechanics</vt:lpstr>
      <vt:lpstr>SetupOverview</vt:lpstr>
      <vt:lpstr>Export-Def-k</vt:lpstr>
      <vt:lpstr>Options</vt:lpstr>
      <vt:lpstr> mb% calc</vt:lpstr>
      <vt:lpstr>bias</vt:lpstr>
      <vt:lpstr>BuildSheet_mechanics!Print_Area</vt:lpstr>
      <vt:lpstr>SetupSheet_mechanics!Print_Area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Kizildagli-Sattler</dc:creator>
  <cp:lastModifiedBy>Josef Lysaght</cp:lastModifiedBy>
  <cp:lastPrinted>2019-07-23T14:37:21Z</cp:lastPrinted>
  <dcterms:created xsi:type="dcterms:W3CDTF">2018-11-30T13:14:26Z</dcterms:created>
  <dcterms:modified xsi:type="dcterms:W3CDTF">2019-07-24T15:51:42Z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0x010100382D79683E53C54487C52F6B780FF89E</vt:lpwstr>
  </property>
</Properties>
</file>